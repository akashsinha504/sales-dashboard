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8b19f0e075c0208d/Desktop/DA/Projects/EXCEL/XLSX/"/>
    </mc:Choice>
  </mc:AlternateContent>
  <xr:revisionPtr revIDLastSave="6" documentId="8_{F2DB6B10-4E16-4CD6-A69E-8195636ABAF9}" xr6:coauthVersionLast="47" xr6:coauthVersionMax="47" xr10:uidLastSave="{C8815FC1-3019-4577-B10B-B2870C532D67}"/>
  <bookViews>
    <workbookView xWindow="-98" yWindow="-98" windowWidth="21795" windowHeight="12975" activeTab="3" xr2:uid="{B32D4FF2-7BFC-40C4-B0A4-937ECD85F5FA}"/>
  </bookViews>
  <sheets>
    <sheet name="Sheet2" sheetId="3" r:id="rId1"/>
    <sheet name="Sheet6" sheetId="7" r:id="rId2"/>
    <sheet name="Stationery2024" sheetId="2" r:id="rId3"/>
    <sheet name="Dashboard" sheetId="1" r:id="rId4"/>
  </sheets>
  <definedNames>
    <definedName name="_xlcn.WorksheetConnection_Book1CREATE_DATABASE_MY_PROJECT021" hidden="1">CREATE_DATABASE_MY_PROJECT02[]</definedName>
    <definedName name="_xlcn.WorksheetConnection_Stationery2024HH1" hidden="1">Stationery2024!$H:$H</definedName>
    <definedName name="ExternalData_1" localSheetId="2" hidden="1">Stationery2024!$A$1:$G$81</definedName>
    <definedName name="Slicer_Category">#N/A</definedName>
    <definedName name="Slicer_Product">#N/A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tationery2024!$H:$H"/>
          <x15:modelTable id="CREATE_DATABASE_MY_PROJECT02" name="CREATE_DATABASE_MY_PROJECT02" connection="WorksheetConnection_Book1!CREATE_DATABASE_MY_PROJECT02"/>
        </x15:modelTables>
        <x15:extLst>
          <ext xmlns:x16="http://schemas.microsoft.com/office/spreadsheetml/2014/11/main" uri="{9835A34E-60A6-4A7C-AAB8-D5F71C897F49}">
            <x16:modelTimeGroupings>
              <x16:modelTimeGrouping tableName="CREATE_DATABASE_MY_PROJECT02"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2" l="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H2" i="2"/>
  <c r="H3" i="2"/>
  <c r="H4" i="2"/>
  <c r="L6" i="2" s="1"/>
  <c r="L7" i="2" s="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0D31BB-0482-419A-8BDB-1666ED6DE6E7}" keepAlive="1" name="Query - CREATE DATABASE MY_PROJECT02;" description="Connection to the 'CREATE DATABASE MY_PROJECT02;' query in the workbook." type="5" refreshedVersion="8" background="1" saveData="1">
    <dbPr connection="Provider=Microsoft.Mashup.OleDb.1;Data Source=$Workbook$;Location=&quot;CREATE DATABASE MY_PROJECT02;&quot;;Extended Properties=&quot;&quot;" command="SELECT * FROM [CREATE DATABASE MY_PROJECT02;]"/>
  </connection>
  <connection id="2" xr16:uid="{46FCA782-E123-406B-A33F-42682FC7D7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6648BC4-B9C6-40D7-94FB-775538DE2E55}" name="WorksheetConnection_Book1!CREATE_DATABASE_MY_PROJECT02" type="102" refreshedVersion="8" minRefreshableVersion="5">
    <extLst>
      <ext xmlns:x15="http://schemas.microsoft.com/office/spreadsheetml/2010/11/main" uri="{DE250136-89BD-433C-8126-D09CA5730AF9}">
        <x15:connection id="CREATE_DATABASE_MY_PROJECT02">
          <x15:rangePr sourceName="_xlcn.WorksheetConnection_Book1CREATE_DATABASE_MY_PROJECT021"/>
        </x15:connection>
      </ext>
    </extLst>
  </connection>
  <connection id="4" xr16:uid="{8E8D8B5E-9BF2-4E06-9654-7D3EC2CA7BE5}" name="WorksheetConnection_Stationery2024!$H:$H" type="102" refreshedVersion="8" minRefreshableVersion="5">
    <extLst>
      <ext xmlns:x15="http://schemas.microsoft.com/office/spreadsheetml/2010/11/main" uri="{DE250136-89BD-433C-8126-D09CA5730AF9}">
        <x15:connection id="Range" autoDelete="1">
          <x15:rangePr sourceName="_xlcn.WorksheetConnection_Stationery2024HH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<sst xmlns="http://schemas.openxmlformats.org/spreadsheetml/2006/main" count="265" uniqueCount="27">
  <si>
    <t>Order Date</t>
  </si>
  <si>
    <t>Product</t>
  </si>
  <si>
    <t>Category</t>
  </si>
  <si>
    <t>Sales</t>
  </si>
  <si>
    <t>Cost</t>
  </si>
  <si>
    <t>Quantity</t>
  </si>
  <si>
    <t>Region</t>
  </si>
  <si>
    <t>Pen</t>
  </si>
  <si>
    <t>Writing</t>
  </si>
  <si>
    <t>Bihar</t>
  </si>
  <si>
    <t>Notebook</t>
  </si>
  <si>
    <t>Delhi</t>
  </si>
  <si>
    <t>Marker</t>
  </si>
  <si>
    <t>UP</t>
  </si>
  <si>
    <t>File</t>
  </si>
  <si>
    <t>Office Supplies</t>
  </si>
  <si>
    <t>Stapler</t>
  </si>
  <si>
    <t>Profit</t>
  </si>
  <si>
    <t>Profit Margin</t>
  </si>
  <si>
    <t>KPI</t>
  </si>
  <si>
    <t>Total Sales</t>
  </si>
  <si>
    <t>Total Profit</t>
  </si>
  <si>
    <t>Sum of Profit</t>
  </si>
  <si>
    <t>Sum of Sales</t>
  </si>
  <si>
    <t>Row Labels</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</si>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</sst>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3" x14ac:knownFonts="1">
    <font>
      <sz val="11"/>
      <color theme="1"/>
      <name val="Aptos Narrow"/>
      <family val="2"/>
      <scheme val="minor"/>
    </font>
    <font>
      <sz val="22"/>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14" fontId="0" fillId="0" borderId="0" xfId="0" applyNumberFormat="1"/>
    <xf numFmtId="2" fontId="0" fillId="0" borderId="0" xfId="0" applyNumberFormat="1"/>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9" fontId="0" fillId="0" borderId="0" xfId="1" applyFont="1"/>
  </cellXfs>
  <cellStyles count="2">
    <cellStyle name="Normal" xfId="0" builtinId="0"/>
    <cellStyle name="Percent" xfId="1" builtinId="5"/>
  </cellStyles>
  <dxfs count="9">
    <dxf>
      <numFmt numFmtId="2" formatCode="0.00"/>
    </dxf>
    <dxf>
      <numFmt numFmtId="164" formatCode="&quot;₹&quot;\ #,##0.00"/>
    </dxf>
    <dxf>
      <numFmt numFmtId="0" formatCode="General"/>
    </dxf>
    <dxf>
      <numFmt numFmtId="2" formatCode="0.00"/>
    </dxf>
    <dxf>
      <numFmt numFmtId="164" formatCode="&quot;₹&quot;\ #,##0.00"/>
    </dxf>
    <dxf>
      <numFmt numFmtId="164" formatCode="&quot;₹&quot;\ #,##0.00"/>
    </dxf>
    <dxf>
      <numFmt numFmtId="0" formatCode="General"/>
    </dxf>
    <dxf>
      <numFmt numFmtId="0" formatCode="General"/>
    </dxf>
    <dxf>
      <numFmt numFmtId="19" formatCode="dd/mm/yyyy"/>
    </dxf>
  </dxfs>
  <tableStyles count="1" defaultTableStyle="TableStyleMedium2" defaultPivotStyle="PivotStyleLight16">
    <tableStyle name="Slicer Style 1" pivot="0" table="0" count="0" xr9:uid="{04D1C27E-1B2B-4861-870B-1BEB329A539D}"/>
  </tableStyles>
  <colors>
    <mruColors>
      <color rgb="FF44888E"/>
      <color rgb="FFB3B5C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alcChain" Target="calcChain.xml"/><Relationship Id="rId7" Type="http://schemas.microsoft.com/office/2007/relationships/slicerCache" Target="slicerCaches/slicerCache1.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22/10/relationships/richValueRel" Target="richData/richValueRel.xml"/><Relationship Id="rId10" Type="http://schemas.openxmlformats.org/officeDocument/2006/relationships/theme" Target="theme/theme1.xml"/><Relationship Id="rId19" Type="http://schemas.openxmlformats.org/officeDocument/2006/relationships/powerPivotData" Target="model/item.data"/><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[Project02.xlsx]Sheet2!PivotTable19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4759405074367"/>
          <c:y val="0.17171296296296298"/>
          <c:w val="0.86497462817147852"/>
          <c:h val="0.72125801983085447"/>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Writing</c:v>
                </c:pt>
                <c:pt idx="1">
                  <c:v>Office Supplies</c:v>
                </c:pt>
                <c:pt idx="2">
                  <c:v>(blank)</c:v>
                </c:pt>
              </c:strCache>
            </c:strRef>
          </c:cat>
          <c:val>
            <c:numRef>
              <c:f>Sheet2!$B$4:$B$7</c:f>
              <c:numCache>
                <c:formatCode>General</c:formatCode>
                <c:ptCount val="3"/>
                <c:pt idx="0">
                  <c:v>41750</c:v>
                </c:pt>
                <c:pt idx="1">
                  <c:v>39020</c:v>
                </c:pt>
              </c:numCache>
            </c:numRef>
          </c:val>
          <c:extLst>
            <c:ext xmlns:c16="http://schemas.microsoft.com/office/drawing/2014/chart" uri="{C3380CC4-5D6E-409C-BE32-E72D297353CC}">
              <c16:uniqueId val="{00000000-20DC-4624-8361-A7A0D1F33EEA}"/>
            </c:ext>
          </c:extLst>
        </c:ser>
        <c:dLbls>
          <c:showLegendKey val="0"/>
          <c:showVal val="0"/>
          <c:showCatName val="0"/>
          <c:showSerName val="0"/>
          <c:showPercent val="0"/>
          <c:showBubbleSize val="0"/>
        </c:dLbls>
        <c:gapWidth val="219"/>
        <c:overlap val="-27"/>
        <c:axId val="832708752"/>
        <c:axId val="832711632"/>
      </c:barChart>
      <c:catAx>
        <c:axId val="832708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11632"/>
        <c:crosses val="autoZero"/>
        <c:auto val="1"/>
        <c:lblAlgn val="ctr"/>
        <c:lblOffset val="100"/>
        <c:noMultiLvlLbl val="0"/>
      </c:catAx>
      <c:valAx>
        <c:axId val="8327116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0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[Project02.xlsx]Sheet6!PivotTable23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Profit</a:t>
            </a:r>
            <a:r>
              <a:rPr lang="en-US" sz="2000" b="1" baseline="0"/>
              <a:t> By Region</a:t>
            </a:r>
            <a:endParaRPr lang="en-US" sz="2000" b="1"/>
          </a:p>
        </c:rich>
      </c:tx>
      <c:layout>
        <c:manualLayout>
          <c:xMode val="edge"/>
          <c:yMode val="edge"/>
          <c:x val="0.582208223972003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88-47A8-8A3D-38D6B711E9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88-47A8-8A3D-38D6B711E9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88-47A8-8A3D-38D6B711E9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3"/>
                <c:pt idx="0">
                  <c:v>Bihar</c:v>
                </c:pt>
                <c:pt idx="1">
                  <c:v>Delhi</c:v>
                </c:pt>
                <c:pt idx="2">
                  <c:v>UP</c:v>
                </c:pt>
              </c:strCache>
            </c:strRef>
          </c:cat>
          <c:val>
            <c:numRef>
              <c:f>Sheet6!$B$4:$B$7</c:f>
              <c:numCache>
                <c:formatCode>General</c:formatCode>
                <c:ptCount val="3"/>
                <c:pt idx="0">
                  <c:v>1200</c:v>
                </c:pt>
                <c:pt idx="1">
                  <c:v>800</c:v>
                </c:pt>
                <c:pt idx="2">
                  <c:v>1200</c:v>
                </c:pt>
              </c:numCache>
            </c:numRef>
          </c:val>
          <c:extLst>
            <c:ext xmlns:c16="http://schemas.microsoft.com/office/drawing/2014/chart" uri="{C3380CC4-5D6E-409C-BE32-E72D297353CC}">
              <c16:uniqueId val="{00000000-A883-4F80-9F21-C914B119DD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[Project02.xlsx]Sheet2!PivotTable19</c:name>
    <c:fmtId val="10"/>
  </c:pivotSource>
  <c:chart>
    <c:title>
      <c:tx>
        <c:rich>
          <a:bodyPr rot="0" spcFirstLastPara="1" vertOverflow="ellipsis" vert="horz" wrap="square" anchor="ctr" anchorCtr="1"/>
          <a:lstStyle/>
          <a:p>
            <a:pPr>
              <a:defRPr sz="1400" b="0" i="0" u="none" strike="noStrike" kern="1200" spc="0" baseline="0">
                <a:ln>
                  <a:solidFill>
                    <a:schemeClr val="tx2">
                      <a:lumMod val="50000"/>
                      <a:lumOff val="50000"/>
                    </a:schemeClr>
                  </a:solidFill>
                </a:ln>
                <a:solidFill>
                  <a:schemeClr val="tx2">
                    <a:lumMod val="50000"/>
                    <a:lumOff val="50000"/>
                  </a:schemeClr>
                </a:solidFill>
                <a:latin typeface="+mn-lt"/>
                <a:ea typeface="+mn-ea"/>
                <a:cs typeface="+mn-cs"/>
              </a:defRPr>
            </a:pPr>
            <a:r>
              <a:rPr lang="en-US" sz="2000"/>
              <a:t>Sales By Category</a:t>
            </a:r>
            <a:endParaRPr lang="en-US"/>
          </a:p>
        </c:rich>
      </c:tx>
      <c:layout>
        <c:manualLayout>
          <c:xMode val="edge"/>
          <c:yMode val="edge"/>
          <c:x val="0.21761906688764379"/>
          <c:y val="6.5840095303866503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2">
                    <a:lumMod val="50000"/>
                    <a:lumOff val="50000"/>
                  </a:schemeClr>
                </a:solidFill>
              </a:ln>
              <a:solidFill>
                <a:schemeClr val="tx2">
                  <a:lumMod val="50000"/>
                  <a:lumOff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lumMod val="50000"/>
                        <a:lumOff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lumMod val="50000"/>
                        <a:lumOff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2">
                        <a:lumMod val="50000"/>
                        <a:lumOff val="50000"/>
                      </a:schemeClr>
                    </a:solidFill>
                  </a:ln>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4751095827317"/>
          <c:y val="0.26987765969748251"/>
          <c:w val="0.72785238303195887"/>
          <c:h val="0.53811424613589964"/>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2">
                          <a:lumMod val="50000"/>
                          <a:lumOff val="50000"/>
                        </a:schemeClr>
                      </a:solidFill>
                    </a:ln>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Writing</c:v>
                </c:pt>
                <c:pt idx="1">
                  <c:v>Office Supplies</c:v>
                </c:pt>
                <c:pt idx="2">
                  <c:v>(blank)</c:v>
                </c:pt>
              </c:strCache>
            </c:strRef>
          </c:cat>
          <c:val>
            <c:numRef>
              <c:f>Sheet2!$B$4:$B$7</c:f>
              <c:numCache>
                <c:formatCode>General</c:formatCode>
                <c:ptCount val="3"/>
                <c:pt idx="0">
                  <c:v>41750</c:v>
                </c:pt>
                <c:pt idx="1">
                  <c:v>39020</c:v>
                </c:pt>
              </c:numCache>
            </c:numRef>
          </c:val>
          <c:extLst>
            <c:ext xmlns:c16="http://schemas.microsoft.com/office/drawing/2014/chart" uri="{C3380CC4-5D6E-409C-BE32-E72D297353CC}">
              <c16:uniqueId val="{00000000-61CC-487A-B481-A6CE2BD064FB}"/>
            </c:ext>
          </c:extLst>
        </c:ser>
        <c:dLbls>
          <c:dLblPos val="outEnd"/>
          <c:showLegendKey val="0"/>
          <c:showVal val="1"/>
          <c:showCatName val="0"/>
          <c:showSerName val="0"/>
          <c:showPercent val="0"/>
          <c:showBubbleSize val="0"/>
        </c:dLbls>
        <c:gapWidth val="219"/>
        <c:overlap val="-27"/>
        <c:axId val="832708752"/>
        <c:axId val="832711632"/>
      </c:barChart>
      <c:catAx>
        <c:axId val="832708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2">
                      <a:lumMod val="50000"/>
                      <a:lumOff val="50000"/>
                    </a:schemeClr>
                  </a:solidFill>
                </a:ln>
                <a:solidFill>
                  <a:schemeClr val="tx2">
                    <a:lumMod val="50000"/>
                    <a:lumOff val="50000"/>
                  </a:schemeClr>
                </a:solidFill>
                <a:latin typeface="+mn-lt"/>
                <a:ea typeface="+mn-ea"/>
                <a:cs typeface="+mn-cs"/>
              </a:defRPr>
            </a:pPr>
            <a:endParaRPr lang="en-US"/>
          </a:p>
        </c:txPr>
        <c:crossAx val="832711632"/>
        <c:crosses val="autoZero"/>
        <c:auto val="1"/>
        <c:lblAlgn val="ctr"/>
        <c:lblOffset val="100"/>
        <c:noMultiLvlLbl val="0"/>
      </c:catAx>
      <c:valAx>
        <c:axId val="8327116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2">
                      <a:lumMod val="50000"/>
                      <a:lumOff val="50000"/>
                    </a:schemeClr>
                  </a:solidFill>
                </a:ln>
                <a:solidFill>
                  <a:schemeClr val="tx2">
                    <a:lumMod val="50000"/>
                    <a:lumOff val="50000"/>
                  </a:schemeClr>
                </a:solidFill>
                <a:latin typeface="+mn-lt"/>
                <a:ea typeface="+mn-ea"/>
                <a:cs typeface="+mn-cs"/>
              </a:defRPr>
            </a:pPr>
            <a:endParaRPr lang="en-US"/>
          </a:p>
        </c:txPr>
        <c:crossAx val="83270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2">
                    <a:lumMod val="50000"/>
                    <a:lumOff val="50000"/>
                  </a:schemeClr>
                </a:solidFill>
              </a:ln>
              <a:solidFill>
                <a:schemeClr val="tx2">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2">
          <a:lumMod val="50000"/>
          <a:lumOff val="50000"/>
        </a:schemeClr>
      </a:solidFill>
      <a:round/>
    </a:ln>
    <a:effectLst>
      <a:glow rad="63500">
        <a:schemeClr val="accent1">
          <a:satMod val="175000"/>
          <a:alpha val="40000"/>
        </a:schemeClr>
      </a:glow>
      <a:outerShdw blurRad="50800" dist="50800" dir="5400000" algn="ctr" rotWithShape="0">
        <a:schemeClr val="tx2">
          <a:lumMod val="50000"/>
          <a:lumOff val="50000"/>
        </a:schemeClr>
      </a:outerShdw>
    </a:effectLst>
  </c:spPr>
  <c:txPr>
    <a:bodyPr/>
    <a:lstStyle/>
    <a:p>
      <a:pPr>
        <a:defRPr>
          <a:ln>
            <a:solidFill>
              <a:schemeClr val="tx2">
                <a:lumMod val="50000"/>
                <a:lumOff val="50000"/>
              </a:schemeClr>
            </a:solidFill>
          </a:ln>
          <a:solidFill>
            <a:schemeClr val="tx2">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[Project02.xlsx]Sheet6!PivotTable23</c:name>
    <c:fmtId val="4"/>
  </c:pivotSource>
  <c:chart>
    <c:title>
      <c:tx>
        <c:rich>
          <a:bodyPr rot="0" spcFirstLastPara="1" vertOverflow="ellipsis" vert="horz" wrap="square" anchor="ctr" anchorCtr="1"/>
          <a:lstStyle/>
          <a:p>
            <a:pPr>
              <a:defRPr sz="1400" b="0" i="0" u="none" strike="noStrike" kern="1200" spc="0" baseline="0">
                <a:ln>
                  <a:solidFill>
                    <a:schemeClr val="accent3">
                      <a:lumMod val="60000"/>
                      <a:lumOff val="40000"/>
                    </a:schemeClr>
                  </a:solidFill>
                </a:ln>
                <a:solidFill>
                  <a:schemeClr val="accent3">
                    <a:lumMod val="60000"/>
                    <a:lumOff val="40000"/>
                  </a:schemeClr>
                </a:solidFill>
                <a:latin typeface="+mn-lt"/>
                <a:ea typeface="+mn-ea"/>
                <a:cs typeface="+mn-cs"/>
              </a:defRPr>
            </a:pPr>
            <a:r>
              <a:rPr lang="en-US" sz="2000"/>
              <a:t>Profit By Region</a:t>
            </a:r>
          </a:p>
        </c:rich>
      </c:tx>
      <c:layout>
        <c:manualLayout>
          <c:xMode val="edge"/>
          <c:yMode val="edge"/>
          <c:x val="0.24549726774700839"/>
          <c:y val="6.2802039071769372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3">
                    <a:lumMod val="60000"/>
                    <a:lumOff val="40000"/>
                  </a:schemeClr>
                </a:solidFill>
              </a:ln>
              <a:solidFill>
                <a:schemeClr val="accent3">
                  <a:lumMod val="60000"/>
                  <a:lumOff val="4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lumMod val="60000"/>
                        <a:lumOff val="4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lumMod val="60000"/>
                        <a:lumOff val="40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3">
                        <a:lumMod val="60000"/>
                        <a:lumOff val="40000"/>
                      </a:schemeClr>
                    </a:solidFill>
                  </a:ln>
                  <a:solidFill>
                    <a:schemeClr val="accent3">
                      <a:lumMod val="60000"/>
                      <a:lumOff val="4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80-4A15-9334-6DDAE882E8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80-4A15-9334-6DDAE882E8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80-4A15-9334-6DDAE882E8E8}"/>
              </c:ext>
            </c:extLst>
          </c:dPt>
          <c:dLbls>
            <c:spPr>
              <a:noFill/>
              <a:ln>
                <a:noFill/>
              </a:ln>
              <a:effectLst/>
            </c:spPr>
            <c:txPr>
              <a:bodyPr rot="0" spcFirstLastPara="1" vertOverflow="ellipsis" vert="horz" wrap="square" anchor="ctr" anchorCtr="1"/>
              <a:lstStyle/>
              <a:p>
                <a:pPr>
                  <a:defRPr sz="900" b="0" i="0" u="none" strike="noStrike" kern="1200" baseline="0">
                    <a:ln>
                      <a:solidFill>
                        <a:schemeClr val="accent3">
                          <a:lumMod val="60000"/>
                          <a:lumOff val="40000"/>
                        </a:schemeClr>
                      </a:solidFill>
                    </a:ln>
                    <a:solidFill>
                      <a:schemeClr val="accent3">
                        <a:lumMod val="60000"/>
                        <a:lumOff val="4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Sheet6!$A$4:$A$7</c:f>
              <c:strCache>
                <c:ptCount val="3"/>
                <c:pt idx="0">
                  <c:v>Bihar</c:v>
                </c:pt>
                <c:pt idx="1">
                  <c:v>Delhi</c:v>
                </c:pt>
                <c:pt idx="2">
                  <c:v>UP</c:v>
                </c:pt>
              </c:strCache>
            </c:strRef>
          </c:cat>
          <c:val>
            <c:numRef>
              <c:f>Sheet6!$B$4:$B$7</c:f>
              <c:numCache>
                <c:formatCode>General</c:formatCode>
                <c:ptCount val="3"/>
                <c:pt idx="0">
                  <c:v>1200</c:v>
                </c:pt>
                <c:pt idx="1">
                  <c:v>800</c:v>
                </c:pt>
                <c:pt idx="2">
                  <c:v>1200</c:v>
                </c:pt>
              </c:numCache>
            </c:numRef>
          </c:val>
          <c:extLst>
            <c:ext xmlns:c16="http://schemas.microsoft.com/office/drawing/2014/chart" uri="{C3380CC4-5D6E-409C-BE32-E72D297353CC}">
              <c16:uniqueId val="{00000006-0080-4A15-9334-6DDAE882E8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3">
                    <a:lumMod val="60000"/>
                    <a:lumOff val="40000"/>
                  </a:schemeClr>
                </a:solidFill>
              </a:ln>
              <a:solidFill>
                <a:schemeClr val="accent3">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60000"/>
          <a:lumOff val="40000"/>
        </a:schemeClr>
      </a:solidFill>
      <a:round/>
    </a:ln>
    <a:effectLst>
      <a:glow rad="63500">
        <a:schemeClr val="accent3">
          <a:lumMod val="60000"/>
          <a:lumOff val="40000"/>
          <a:alpha val="40000"/>
        </a:schemeClr>
      </a:glow>
      <a:outerShdw blurRad="50800" dist="50800" dir="5400000" algn="ctr" rotWithShape="0">
        <a:schemeClr val="accent3">
          <a:lumMod val="60000"/>
          <a:lumOff val="40000"/>
        </a:schemeClr>
      </a:outerShdw>
    </a:effectLst>
  </c:spPr>
  <c:txPr>
    <a:bodyPr/>
    <a:lstStyle/>
    <a:p>
      <a:pPr>
        <a:defRPr>
          <a:ln>
            <a:solidFill>
              <a:schemeClr val="accent3">
                <a:lumMod val="60000"/>
                <a:lumOff val="40000"/>
              </a:schemeClr>
            </a:solidFill>
          </a:ln>
          <a:solidFill>
            <a:schemeClr val="accent3">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2.svg"/><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image" Target="../media/image11.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4.xml"/><Relationship Id="rId5" Type="http://schemas.openxmlformats.org/officeDocument/2006/relationships/image" Target="../media/image6.svg"/><Relationship Id="rId15" Type="http://schemas.openxmlformats.org/officeDocument/2006/relationships/image" Target="../media/image14.svg"/><Relationship Id="rId10" Type="http://schemas.openxmlformats.org/officeDocument/2006/relationships/chart" Target="../charts/chart3.xml"/><Relationship Id="rId4" Type="http://schemas.openxmlformats.org/officeDocument/2006/relationships/image" Target="../media/image5.png"/><Relationship Id="rId9" Type="http://schemas.openxmlformats.org/officeDocument/2006/relationships/image" Target="../media/image10.svg"/><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3</xdr:col>
      <xdr:colOff>2380</xdr:colOff>
      <xdr:row>2</xdr:row>
      <xdr:rowOff>66675</xdr:rowOff>
    </xdr:from>
    <xdr:to>
      <xdr:col>10</xdr:col>
      <xdr:colOff>40480</xdr:colOff>
      <xdr:row>17</xdr:row>
      <xdr:rowOff>95250</xdr:rowOff>
    </xdr:to>
    <xdr:graphicFrame macro="">
      <xdr:nvGraphicFramePr>
        <xdr:cNvPr id="2" name="Chart 1">
          <a:extLst>
            <a:ext uri="{FF2B5EF4-FFF2-40B4-BE49-F238E27FC236}">
              <a16:creationId xmlns:a16="http://schemas.microsoft.com/office/drawing/2014/main" id="{78666506-7538-7553-1036-C22E9DF42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357188</xdr:colOff>
      <xdr:row>6</xdr:row>
      <xdr:rowOff>23813</xdr:rowOff>
    </xdr:from>
    <xdr:to>
      <xdr:col>14</xdr:col>
      <xdr:colOff>242888</xdr:colOff>
      <xdr:row>11</xdr:row>
      <xdr:rowOff>80963</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9CDEEBB-76A0-601A-803C-AB602C6BA6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862888" y="1109663"/>
              <a:ext cx="182880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169068</xdr:colOff>
      <xdr:row>11</xdr:row>
      <xdr:rowOff>171450</xdr:rowOff>
    </xdr:from>
    <xdr:to>
      <xdr:col>10</xdr:col>
      <xdr:colOff>207168</xdr:colOff>
      <xdr:row>27</xdr:row>
      <xdr:rowOff>19050</xdr:rowOff>
    </xdr:to>
    <xdr:graphicFrame macro="">
      <xdr:nvGraphicFramePr>
        <xdr:cNvPr id="2" name="Chart 1">
          <a:extLst>
            <a:ext uri="{FF2B5EF4-FFF2-40B4-BE49-F238E27FC236}">
              <a16:creationId xmlns:a16="http://schemas.microsoft.com/office/drawing/2014/main" id="{95CBAC0A-D82C-F18E-1813-DA44F1B3DC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128587</xdr:colOff>
      <xdr:row>2</xdr:row>
      <xdr:rowOff>14288</xdr:rowOff>
    </xdr:from>
    <xdr:to>
      <xdr:col>9</xdr:col>
      <xdr:colOff>14287</xdr:colOff>
      <xdr:row>11</xdr:row>
      <xdr:rowOff>109539</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3D9ECC29-D448-705A-2AAA-78BD46B488A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357687" y="376238"/>
              <a:ext cx="1828800" cy="1724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361949</xdr:colOff>
      <xdr:row>12</xdr:row>
      <xdr:rowOff>133350</xdr:rowOff>
    </xdr:from>
    <xdr:to>
      <xdr:col>2</xdr:col>
      <xdr:colOff>300038</xdr:colOff>
      <xdr:row>19</xdr:row>
      <xdr:rowOff>119063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61326B1A-AC8C-ECB0-876D-825AE94F34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1949" y="2305050"/>
              <a:ext cx="1576389" cy="1252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48222</xdr:colOff>
      <xdr:row>0</xdr:row>
      <xdr:rowOff>94258</xdr:rowOff>
    </xdr:from>
    <xdr:to>
      <xdr:col>2</xdr:col>
      <xdr:colOff>219672</xdr:colOff>
      <xdr:row>5</xdr:row>
      <xdr:rowOff>138906</xdr:rowOff>
    </xdr:to>
    <xdr:sp macro="" textlink="">
      <xdr:nvSpPr>
        <xdr:cNvPr id="6" name="Rectangle 5">
          <a:extLst>
            <a:ext uri="{FF2B5EF4-FFF2-40B4-BE49-F238E27FC236}">
              <a16:creationId xmlns:a16="http://schemas.microsoft.com/office/drawing/2014/main" id="{71AC6F7E-B040-423E-B99D-6CD7412DB1BF}"/>
            </a:ext>
          </a:extLst>
        </xdr:cNvPr>
        <xdr:cNvSpPr/>
      </xdr:nvSpPr>
      <xdr:spPr>
        <a:xfrm>
          <a:off x="48222" y="94258"/>
          <a:ext cx="1471216" cy="937617"/>
        </a:xfrm>
        <a:prstGeom prst="rect">
          <a:avLst/>
        </a:prstGeom>
        <a:solidFill>
          <a:srgbClr val="44888E"/>
        </a:solidFill>
        <a:ln>
          <a:solidFill>
            <a:srgbClr val="44888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t>MAMTA</a:t>
          </a:r>
        </a:p>
        <a:p>
          <a:pPr algn="r"/>
          <a:r>
            <a:rPr lang="en-IN" sz="1000" b="1" baseline="0"/>
            <a:t> ENTERPRISES</a:t>
          </a:r>
          <a:endParaRPr lang="en-IN" sz="1000" b="1"/>
        </a:p>
      </xdr:txBody>
    </xdr:sp>
    <xdr:clientData/>
  </xdr:twoCellAnchor>
  <xdr:twoCellAnchor editAs="oneCell">
    <xdr:from>
      <xdr:col>0</xdr:col>
      <xdr:colOff>88899</xdr:colOff>
      <xdr:row>1</xdr:row>
      <xdr:rowOff>71835</xdr:rowOff>
    </xdr:from>
    <xdr:to>
      <xdr:col>1</xdr:col>
      <xdr:colOff>49608</xdr:colOff>
      <xdr:row>4</xdr:row>
      <xdr:rowOff>108976</xdr:rowOff>
    </xdr:to>
    <xdr:pic>
      <xdr:nvPicPr>
        <xdr:cNvPr id="10" name="Picture 9">
          <a:extLst>
            <a:ext uri="{FF2B5EF4-FFF2-40B4-BE49-F238E27FC236}">
              <a16:creationId xmlns:a16="http://schemas.microsoft.com/office/drawing/2014/main" id="{1A6C4855-3A25-9D14-9AD5-374B64112D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99" y="250429"/>
          <a:ext cx="610592" cy="572922"/>
        </a:xfrm>
        <a:prstGeom prst="rect">
          <a:avLst/>
        </a:prstGeom>
      </xdr:spPr>
    </xdr:pic>
    <xdr:clientData/>
  </xdr:twoCellAnchor>
  <xdr:twoCellAnchor>
    <xdr:from>
      <xdr:col>2</xdr:col>
      <xdr:colOff>249492</xdr:colOff>
      <xdr:row>0</xdr:row>
      <xdr:rowOff>87112</xdr:rowOff>
    </xdr:from>
    <xdr:to>
      <xdr:col>20</xdr:col>
      <xdr:colOff>306642</xdr:colOff>
      <xdr:row>5</xdr:row>
      <xdr:rowOff>137063</xdr:rowOff>
    </xdr:to>
    <xdr:sp macro="" textlink="">
      <xdr:nvSpPr>
        <xdr:cNvPr id="14" name="Rectangle 13">
          <a:extLst>
            <a:ext uri="{FF2B5EF4-FFF2-40B4-BE49-F238E27FC236}">
              <a16:creationId xmlns:a16="http://schemas.microsoft.com/office/drawing/2014/main" id="{A309C87D-EB38-9988-581A-BD621778CD5A}"/>
            </a:ext>
          </a:extLst>
        </xdr:cNvPr>
        <xdr:cNvSpPr/>
      </xdr:nvSpPr>
      <xdr:spPr>
        <a:xfrm>
          <a:off x="1542171" y="87112"/>
          <a:ext cx="11691257" cy="968434"/>
        </a:xfrm>
        <a:prstGeom prst="rect">
          <a:avLst/>
        </a:prstGeom>
        <a:solidFill>
          <a:srgbClr val="44888E"/>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bg1"/>
              </a:solidFill>
              <a:latin typeface="Aptos" panose="020B0004020202020204" pitchFamily="34" charset="0"/>
            </a:rPr>
            <a:t>Mamta Enterprises</a:t>
          </a:r>
          <a:r>
            <a:rPr lang="en-IN" sz="3200" b="1" baseline="0">
              <a:solidFill>
                <a:schemeClr val="bg1"/>
              </a:solidFill>
              <a:latin typeface="Aptos" panose="020B0004020202020204" pitchFamily="34" charset="0"/>
            </a:rPr>
            <a:t> - Sales &amp; Profit Dashboard</a:t>
          </a:r>
          <a:endParaRPr lang="en-IN" sz="1600" b="1">
            <a:solidFill>
              <a:schemeClr val="bg1"/>
            </a:solidFill>
            <a:latin typeface="Aptos" panose="020B0004020202020204" pitchFamily="34" charset="0"/>
          </a:endParaRPr>
        </a:p>
        <a:p>
          <a:pPr algn="l"/>
          <a:endParaRPr lang="en-IN" sz="1100">
            <a:solidFill>
              <a:srgbClr val="FF0000"/>
            </a:solidFill>
          </a:endParaRPr>
        </a:p>
        <a:p>
          <a:pPr algn="l"/>
          <a:endParaRPr lang="en-IN" sz="1100">
            <a:solidFill>
              <a:schemeClr val="tx1"/>
            </a:solidFill>
          </a:endParaRPr>
        </a:p>
        <a:p>
          <a:pPr algn="l"/>
          <a:endParaRPr lang="en-IN" sz="1100">
            <a:solidFill>
              <a:schemeClr val="tx1"/>
            </a:solidFill>
          </a:endParaRPr>
        </a:p>
        <a:p>
          <a:pPr algn="l"/>
          <a:endParaRPr lang="en-IN" sz="1100">
            <a:solidFill>
              <a:schemeClr val="tx1"/>
            </a:solidFill>
          </a:endParaRPr>
        </a:p>
        <a:p>
          <a:pPr algn="l"/>
          <a:endParaRPr lang="en-IN" sz="1100">
            <a:solidFill>
              <a:schemeClr val="tx1"/>
            </a:solidFill>
          </a:endParaRPr>
        </a:p>
        <a:p>
          <a:pPr algn="l"/>
          <a:endParaRPr lang="en-IN" sz="1100">
            <a:solidFill>
              <a:schemeClr val="tx1"/>
            </a:solidFill>
          </a:endParaRPr>
        </a:p>
      </xdr:txBody>
    </xdr:sp>
    <xdr:clientData/>
  </xdr:twoCellAnchor>
  <xdr:twoCellAnchor>
    <xdr:from>
      <xdr:col>9</xdr:col>
      <xdr:colOff>292101</xdr:colOff>
      <xdr:row>3</xdr:row>
      <xdr:rowOff>133945</xdr:rowOff>
    </xdr:from>
    <xdr:to>
      <xdr:col>12</xdr:col>
      <xdr:colOff>53976</xdr:colOff>
      <xdr:row>5</xdr:row>
      <xdr:rowOff>22025</xdr:rowOff>
    </xdr:to>
    <xdr:sp macro="" textlink="">
      <xdr:nvSpPr>
        <xdr:cNvPr id="15" name="Rectangle 14">
          <a:extLst>
            <a:ext uri="{FF2B5EF4-FFF2-40B4-BE49-F238E27FC236}">
              <a16:creationId xmlns:a16="http://schemas.microsoft.com/office/drawing/2014/main" id="{1836C519-CB0E-187C-87C4-21AE2885D221}"/>
            </a:ext>
          </a:extLst>
        </xdr:cNvPr>
        <xdr:cNvSpPr/>
      </xdr:nvSpPr>
      <xdr:spPr>
        <a:xfrm>
          <a:off x="6141047" y="669726"/>
          <a:ext cx="1711523" cy="24526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Performance  Overview</a:t>
          </a:r>
          <a:endParaRPr lang="en-IN" sz="1100" b="1">
            <a:solidFill>
              <a:schemeClr val="tx1"/>
            </a:solidFill>
          </a:endParaRPr>
        </a:p>
      </xdr:txBody>
    </xdr:sp>
    <xdr:clientData/>
  </xdr:twoCellAnchor>
  <xdr:twoCellAnchor>
    <xdr:from>
      <xdr:col>0</xdr:col>
      <xdr:colOff>40708</xdr:colOff>
      <xdr:row>6</xdr:row>
      <xdr:rowOff>53229</xdr:rowOff>
    </xdr:from>
    <xdr:to>
      <xdr:col>20</xdr:col>
      <xdr:colOff>316932</xdr:colOff>
      <xdr:row>40</xdr:row>
      <xdr:rowOff>137243</xdr:rowOff>
    </xdr:to>
    <xdr:sp macro="" textlink="">
      <xdr:nvSpPr>
        <xdr:cNvPr id="16" name="Rectangle 15">
          <a:extLst>
            <a:ext uri="{FF2B5EF4-FFF2-40B4-BE49-F238E27FC236}">
              <a16:creationId xmlns:a16="http://schemas.microsoft.com/office/drawing/2014/main" id="{2A55BC69-5F4B-A135-61DE-A7A6363A362B}"/>
            </a:ext>
          </a:extLst>
        </xdr:cNvPr>
        <xdr:cNvSpPr/>
      </xdr:nvSpPr>
      <xdr:spPr>
        <a:xfrm>
          <a:off x="40708" y="1141800"/>
          <a:ext cx="13203010" cy="6252586"/>
        </a:xfrm>
        <a:prstGeom prst="rect">
          <a:avLst/>
        </a:prstGeom>
        <a:solidFill>
          <a:schemeClr val="bg1"/>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0"/>
        <a:lstStyle/>
        <a:p>
          <a:pPr algn="l"/>
          <a:endParaRPr lang="en-IN" sz="1100">
            <a:solidFill>
              <a:schemeClr val="tx2">
                <a:lumMod val="50000"/>
                <a:lumOff val="50000"/>
              </a:schemeClr>
            </a:solidFill>
            <a:effectLst>
              <a:outerShdw blurRad="50800" dist="38100" dir="2700000" algn="tl" rotWithShape="0">
                <a:schemeClr val="tx2">
                  <a:lumMod val="50000"/>
                  <a:lumOff val="50000"/>
                  <a:alpha val="40000"/>
                </a:schemeClr>
              </a:outerShdw>
            </a:effectLst>
          </a:endParaRPr>
        </a:p>
      </xdr:txBody>
    </xdr:sp>
    <xdr:clientData/>
  </xdr:twoCellAnchor>
  <xdr:twoCellAnchor>
    <xdr:from>
      <xdr:col>18</xdr:col>
      <xdr:colOff>108391</xdr:colOff>
      <xdr:row>2</xdr:row>
      <xdr:rowOff>154734</xdr:rowOff>
    </xdr:from>
    <xdr:to>
      <xdr:col>20</xdr:col>
      <xdr:colOff>57423</xdr:colOff>
      <xdr:row>4</xdr:row>
      <xdr:rowOff>60755</xdr:rowOff>
    </xdr:to>
    <xdr:sp macro="" textlink="">
      <xdr:nvSpPr>
        <xdr:cNvPr id="21" name="Rectangle 20">
          <a:extLst>
            <a:ext uri="{FF2B5EF4-FFF2-40B4-BE49-F238E27FC236}">
              <a16:creationId xmlns:a16="http://schemas.microsoft.com/office/drawing/2014/main" id="{E7FD69D3-AFBA-4A61-BD76-C2387F264889}"/>
            </a:ext>
          </a:extLst>
        </xdr:cNvPr>
        <xdr:cNvSpPr/>
      </xdr:nvSpPr>
      <xdr:spPr>
        <a:xfrm>
          <a:off x="11806282" y="511922"/>
          <a:ext cx="1248797" cy="263208"/>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a:solidFill>
                <a:sysClr val="windowText" lastClr="000000"/>
              </a:solidFill>
            </a:rPr>
            <a:t>Jan</a:t>
          </a:r>
          <a:r>
            <a:rPr lang="en-IN" sz="1100" baseline="0">
              <a:solidFill>
                <a:sysClr val="windowText" lastClr="000000"/>
              </a:solidFill>
            </a:rPr>
            <a:t> - Mar 2024</a:t>
          </a:r>
          <a:endParaRPr lang="en-IN" sz="1100">
            <a:solidFill>
              <a:sysClr val="windowText" lastClr="000000"/>
            </a:solidFill>
          </a:endParaRPr>
        </a:p>
      </xdr:txBody>
    </xdr:sp>
    <xdr:clientData/>
  </xdr:twoCellAnchor>
  <xdr:twoCellAnchor editAs="oneCell">
    <xdr:from>
      <xdr:col>18</xdr:col>
      <xdr:colOff>153677</xdr:colOff>
      <xdr:row>2</xdr:row>
      <xdr:rowOff>159995</xdr:rowOff>
    </xdr:from>
    <xdr:to>
      <xdr:col>18</xdr:col>
      <xdr:colOff>415533</xdr:colOff>
      <xdr:row>4</xdr:row>
      <xdr:rowOff>61729</xdr:rowOff>
    </xdr:to>
    <xdr:pic>
      <xdr:nvPicPr>
        <xdr:cNvPr id="23" name="Graphic 22" descr="Daily calendar with solid fill">
          <a:extLst>
            <a:ext uri="{FF2B5EF4-FFF2-40B4-BE49-F238E27FC236}">
              <a16:creationId xmlns:a16="http://schemas.microsoft.com/office/drawing/2014/main" id="{9BAFB5E3-EE85-B0B2-A8F5-6E460073D07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V="1">
          <a:off x="11851568" y="517183"/>
          <a:ext cx="261856" cy="258921"/>
        </a:xfrm>
        <a:prstGeom prst="rect">
          <a:avLst/>
        </a:prstGeom>
      </xdr:spPr>
    </xdr:pic>
    <xdr:clientData/>
  </xdr:twoCellAnchor>
  <xdr:twoCellAnchor>
    <xdr:from>
      <xdr:col>3</xdr:col>
      <xdr:colOff>396495</xdr:colOff>
      <xdr:row>7</xdr:row>
      <xdr:rowOff>161422</xdr:rowOff>
    </xdr:from>
    <xdr:to>
      <xdr:col>8</xdr:col>
      <xdr:colOff>594551</xdr:colOff>
      <xdr:row>14</xdr:row>
      <xdr:rowOff>149209</xdr:rowOff>
    </xdr:to>
    <xdr:sp macro="" textlink="">
      <xdr:nvSpPr>
        <xdr:cNvPr id="25" name="Rectangle: Rounded Corners 24">
          <a:extLst>
            <a:ext uri="{FF2B5EF4-FFF2-40B4-BE49-F238E27FC236}">
              <a16:creationId xmlns:a16="http://schemas.microsoft.com/office/drawing/2014/main" id="{958D1E79-A3AF-5CA3-4B38-10D38ADD410B}"/>
            </a:ext>
          </a:extLst>
        </xdr:cNvPr>
        <xdr:cNvSpPr/>
      </xdr:nvSpPr>
      <xdr:spPr>
        <a:xfrm>
          <a:off x="2346144" y="1411578"/>
          <a:ext cx="3447470" cy="1237944"/>
        </a:xfrm>
        <a:prstGeom prst="roundRect">
          <a:avLst/>
        </a:prstGeom>
        <a:solidFill>
          <a:schemeClr val="tx2">
            <a:lumMod val="10000"/>
            <a:lumOff val="90000"/>
          </a:schemeClr>
        </a:solidFill>
        <a:ln>
          <a:solidFill>
            <a:schemeClr val="tx1"/>
          </a:solidFill>
        </a:ln>
        <a:effectLst>
          <a:outerShdw blurRad="50800" dist="50800" dir="5400000" algn="ctr" rotWithShape="0">
            <a:schemeClr val="tx2">
              <a:lumMod val="50000"/>
              <a:lumOff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14883</xdr:colOff>
      <xdr:row>7</xdr:row>
      <xdr:rowOff>156997</xdr:rowOff>
    </xdr:from>
    <xdr:to>
      <xdr:col>14</xdr:col>
      <xdr:colOff>212938</xdr:colOff>
      <xdr:row>14</xdr:row>
      <xdr:rowOff>144784</xdr:rowOff>
    </xdr:to>
    <xdr:sp macro="" textlink="">
      <xdr:nvSpPr>
        <xdr:cNvPr id="26" name="Rectangle: Rounded Corners 25">
          <a:extLst>
            <a:ext uri="{FF2B5EF4-FFF2-40B4-BE49-F238E27FC236}">
              <a16:creationId xmlns:a16="http://schemas.microsoft.com/office/drawing/2014/main" id="{3CA61450-59AE-4849-8EEC-D51A7825CCF4}"/>
            </a:ext>
          </a:extLst>
        </xdr:cNvPr>
        <xdr:cNvSpPr/>
      </xdr:nvSpPr>
      <xdr:spPr>
        <a:xfrm>
          <a:off x="5863829" y="1407153"/>
          <a:ext cx="3447468" cy="1237944"/>
        </a:xfrm>
        <a:prstGeom prst="roundRect">
          <a:avLst/>
        </a:prstGeom>
        <a:solidFill>
          <a:schemeClr val="accent3">
            <a:lumMod val="20000"/>
            <a:lumOff val="80000"/>
          </a:schemeClr>
        </a:solidFill>
        <a:ln>
          <a:solidFill>
            <a:schemeClr val="tx1"/>
          </a:solidFill>
        </a:ln>
        <a:effectLst>
          <a:outerShdw blurRad="50800" dist="50800" dir="5400000" algn="ctr" rotWithShape="0">
            <a:schemeClr val="accent3">
              <a:lumMod val="60000"/>
              <a:lumOff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288879</xdr:colOff>
      <xdr:row>7</xdr:row>
      <xdr:rowOff>154326</xdr:rowOff>
    </xdr:from>
    <xdr:to>
      <xdr:col>19</xdr:col>
      <xdr:colOff>484264</xdr:colOff>
      <xdr:row>14</xdr:row>
      <xdr:rowOff>142113</xdr:rowOff>
    </xdr:to>
    <xdr:sp macro="" textlink="">
      <xdr:nvSpPr>
        <xdr:cNvPr id="27" name="Rectangle: Rounded Corners 26">
          <a:extLst>
            <a:ext uri="{FF2B5EF4-FFF2-40B4-BE49-F238E27FC236}">
              <a16:creationId xmlns:a16="http://schemas.microsoft.com/office/drawing/2014/main" id="{17B9D4AE-000A-4A23-AF6B-3476ED348B7C}"/>
            </a:ext>
          </a:extLst>
        </xdr:cNvPr>
        <xdr:cNvSpPr/>
      </xdr:nvSpPr>
      <xdr:spPr>
        <a:xfrm>
          <a:off x="9387238" y="1404482"/>
          <a:ext cx="3444800" cy="1237944"/>
        </a:xfrm>
        <a:prstGeom prst="roundRect">
          <a:avLst/>
        </a:prstGeom>
        <a:solidFill>
          <a:schemeClr val="accent2">
            <a:lumMod val="20000"/>
            <a:lumOff val="80000"/>
          </a:schemeClr>
        </a:solidFill>
        <a:ln>
          <a:solidFill>
            <a:schemeClr val="tx1"/>
          </a:solidFill>
        </a:ln>
        <a:effectLst>
          <a:outerShdw blurRad="50800" dist="50800" dir="5400000" algn="ctr" rotWithShape="0">
            <a:schemeClr val="accent2">
              <a:lumMod val="60000"/>
              <a:lumOff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294050</xdr:colOff>
      <xdr:row>9</xdr:row>
      <xdr:rowOff>39192</xdr:rowOff>
    </xdr:from>
    <xdr:to>
      <xdr:col>10</xdr:col>
      <xdr:colOff>469200</xdr:colOff>
      <xdr:row>13</xdr:row>
      <xdr:rowOff>121995</xdr:rowOff>
    </xdr:to>
    <xdr:pic>
      <xdr:nvPicPr>
        <xdr:cNvPr id="31" name="Graphic 30" descr="Upward trend with solid fill">
          <a:extLst>
            <a:ext uri="{FF2B5EF4-FFF2-40B4-BE49-F238E27FC236}">
              <a16:creationId xmlns:a16="http://schemas.microsoft.com/office/drawing/2014/main" id="{626B517C-AD77-42D0-8417-61E22BEA547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42996" y="1646536"/>
          <a:ext cx="825032" cy="797178"/>
        </a:xfrm>
        <a:prstGeom prst="rect">
          <a:avLst/>
        </a:prstGeom>
      </xdr:spPr>
    </xdr:pic>
    <xdr:clientData/>
  </xdr:twoCellAnchor>
  <xdr:twoCellAnchor editAs="oneCell">
    <xdr:from>
      <xdr:col>3</xdr:col>
      <xdr:colOff>607321</xdr:colOff>
      <xdr:row>9</xdr:row>
      <xdr:rowOff>91366</xdr:rowOff>
    </xdr:from>
    <xdr:to>
      <xdr:col>5</xdr:col>
      <xdr:colOff>61645</xdr:colOff>
      <xdr:row>13</xdr:row>
      <xdr:rowOff>105324</xdr:rowOff>
    </xdr:to>
    <xdr:pic>
      <xdr:nvPicPr>
        <xdr:cNvPr id="33" name="Graphic 32" descr="Bar chart with solid fill">
          <a:extLst>
            <a:ext uri="{FF2B5EF4-FFF2-40B4-BE49-F238E27FC236}">
              <a16:creationId xmlns:a16="http://schemas.microsoft.com/office/drawing/2014/main" id="{73965651-5D3C-BCF3-61B0-F58FFB8BCB8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56970" y="1698710"/>
          <a:ext cx="754090" cy="728333"/>
        </a:xfrm>
        <a:prstGeom prst="rect">
          <a:avLst/>
        </a:prstGeom>
      </xdr:spPr>
    </xdr:pic>
    <xdr:clientData/>
  </xdr:twoCellAnchor>
  <xdr:twoCellAnchor>
    <xdr:from>
      <xdr:col>5</xdr:col>
      <xdr:colOff>510211</xdr:colOff>
      <xdr:row>8</xdr:row>
      <xdr:rowOff>177010</xdr:rowOff>
    </xdr:from>
    <xdr:to>
      <xdr:col>8</xdr:col>
      <xdr:colOff>181600</xdr:colOff>
      <xdr:row>11</xdr:row>
      <xdr:rowOff>124441</xdr:rowOff>
    </xdr:to>
    <xdr:sp macro="" textlink="">
      <xdr:nvSpPr>
        <xdr:cNvPr id="34" name="Rectangle 33">
          <a:extLst>
            <a:ext uri="{FF2B5EF4-FFF2-40B4-BE49-F238E27FC236}">
              <a16:creationId xmlns:a16="http://schemas.microsoft.com/office/drawing/2014/main" id="{1137A229-BB2D-412A-B1DB-A7C8058D8678}"/>
            </a:ext>
          </a:extLst>
        </xdr:cNvPr>
        <xdr:cNvSpPr/>
      </xdr:nvSpPr>
      <xdr:spPr>
        <a:xfrm>
          <a:off x="3759626" y="1605760"/>
          <a:ext cx="1621037" cy="483212"/>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2">
                  <a:lumMod val="50000"/>
                  <a:lumOff val="50000"/>
                </a:schemeClr>
              </a:solidFill>
            </a:rPr>
            <a:t>Total Sales</a:t>
          </a:r>
        </a:p>
      </xdr:txBody>
    </xdr:sp>
    <xdr:clientData/>
  </xdr:twoCellAnchor>
  <xdr:twoCellAnchor>
    <xdr:from>
      <xdr:col>5</xdr:col>
      <xdr:colOff>437889</xdr:colOff>
      <xdr:row>11</xdr:row>
      <xdr:rowOff>65136</xdr:rowOff>
    </xdr:from>
    <xdr:to>
      <xdr:col>8</xdr:col>
      <xdr:colOff>372331</xdr:colOff>
      <xdr:row>14</xdr:row>
      <xdr:rowOff>27033</xdr:rowOff>
    </xdr:to>
    <xdr:sp macro="" textlink="Stationery2024!L5">
      <xdr:nvSpPr>
        <xdr:cNvPr id="35" name="Rectangle 34">
          <a:extLst>
            <a:ext uri="{FF2B5EF4-FFF2-40B4-BE49-F238E27FC236}">
              <a16:creationId xmlns:a16="http://schemas.microsoft.com/office/drawing/2014/main" id="{EE57991A-E1C1-4192-B09D-40C7583EF92E}"/>
            </a:ext>
          </a:extLst>
        </xdr:cNvPr>
        <xdr:cNvSpPr/>
      </xdr:nvSpPr>
      <xdr:spPr>
        <a:xfrm>
          <a:off x="3687304" y="2029667"/>
          <a:ext cx="1884090" cy="497679"/>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D842FE1-D51F-463A-B728-F1DCC5689C36}" type="TxLink">
            <a:rPr lang="en-US" sz="2400" b="1" i="0" u="none" strike="noStrike">
              <a:solidFill>
                <a:schemeClr val="tx1"/>
              </a:solidFill>
              <a:latin typeface="Aptos Narrow"/>
            </a:rPr>
            <a:pPr algn="l"/>
            <a:t>₹ 80,770.00</a:t>
          </a:fld>
          <a:endParaRPr lang="en-IN" sz="4800" b="1">
            <a:solidFill>
              <a:schemeClr val="tx1"/>
            </a:solidFill>
          </a:endParaRPr>
        </a:p>
      </xdr:txBody>
    </xdr:sp>
    <xdr:clientData/>
  </xdr:twoCellAnchor>
  <xdr:twoCellAnchor>
    <xdr:from>
      <xdr:col>11</xdr:col>
      <xdr:colOff>184378</xdr:colOff>
      <xdr:row>8</xdr:row>
      <xdr:rowOff>156535</xdr:rowOff>
    </xdr:from>
    <xdr:to>
      <xdr:col>13</xdr:col>
      <xdr:colOff>505649</xdr:colOff>
      <xdr:row>11</xdr:row>
      <xdr:rowOff>103966</xdr:rowOff>
    </xdr:to>
    <xdr:sp macro="" textlink="">
      <xdr:nvSpPr>
        <xdr:cNvPr id="37" name="Rectangle 36">
          <a:extLst>
            <a:ext uri="{FF2B5EF4-FFF2-40B4-BE49-F238E27FC236}">
              <a16:creationId xmlns:a16="http://schemas.microsoft.com/office/drawing/2014/main" id="{BE8B8F69-4C3F-4320-ABB4-9BDBA8C76D0B}"/>
            </a:ext>
          </a:extLst>
        </xdr:cNvPr>
        <xdr:cNvSpPr/>
      </xdr:nvSpPr>
      <xdr:spPr>
        <a:xfrm>
          <a:off x="7333089" y="1585285"/>
          <a:ext cx="1621037" cy="483212"/>
        </a:xfrm>
        <a:prstGeom prst="rect">
          <a:avLst/>
        </a:prstGeom>
        <a:solidFill>
          <a:schemeClr val="accent3">
            <a:lumMod val="20000"/>
            <a:lumOff val="80000"/>
          </a:schemeClr>
        </a:solidFill>
        <a:ln>
          <a:solidFill>
            <a:schemeClr val="accent3">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accent3">
                  <a:lumMod val="60000"/>
                  <a:lumOff val="40000"/>
                </a:schemeClr>
              </a:solidFill>
            </a:rPr>
            <a:t>Total Profit</a:t>
          </a:r>
        </a:p>
      </xdr:txBody>
    </xdr:sp>
    <xdr:clientData/>
  </xdr:twoCellAnchor>
  <xdr:twoCellAnchor>
    <xdr:from>
      <xdr:col>16</xdr:col>
      <xdr:colOff>449920</xdr:colOff>
      <xdr:row>8</xdr:row>
      <xdr:rowOff>143942</xdr:rowOff>
    </xdr:from>
    <xdr:to>
      <xdr:col>19</xdr:col>
      <xdr:colOff>385647</xdr:colOff>
      <xdr:row>11</xdr:row>
      <xdr:rowOff>88239</xdr:rowOff>
    </xdr:to>
    <xdr:sp macro="" textlink="">
      <xdr:nvSpPr>
        <xdr:cNvPr id="38" name="Rectangle 37">
          <a:extLst>
            <a:ext uri="{FF2B5EF4-FFF2-40B4-BE49-F238E27FC236}">
              <a16:creationId xmlns:a16="http://schemas.microsoft.com/office/drawing/2014/main" id="{2A31DF58-FA9F-4B65-B48A-4322BBA2D8AD}"/>
            </a:ext>
          </a:extLst>
        </xdr:cNvPr>
        <xdr:cNvSpPr/>
      </xdr:nvSpPr>
      <xdr:spPr>
        <a:xfrm>
          <a:off x="10848045" y="1572692"/>
          <a:ext cx="1885376" cy="480078"/>
        </a:xfrm>
        <a:prstGeom prst="rect">
          <a:avLst/>
        </a:prstGeom>
        <a:solidFill>
          <a:schemeClr val="accent2">
            <a:lumMod val="20000"/>
            <a:lumOff val="80000"/>
          </a:schemeClr>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accent2">
                  <a:lumMod val="60000"/>
                  <a:lumOff val="40000"/>
                </a:schemeClr>
              </a:solidFill>
            </a:rPr>
            <a:t>Profit</a:t>
          </a:r>
          <a:r>
            <a:rPr lang="en-IN" sz="2400" b="1" baseline="0">
              <a:solidFill>
                <a:schemeClr val="accent2">
                  <a:lumMod val="60000"/>
                  <a:lumOff val="40000"/>
                </a:schemeClr>
              </a:solidFill>
            </a:rPr>
            <a:t> Margin</a:t>
          </a:r>
          <a:endParaRPr lang="en-IN" sz="2400" b="1">
            <a:solidFill>
              <a:schemeClr val="accent2">
                <a:lumMod val="60000"/>
                <a:lumOff val="40000"/>
              </a:schemeClr>
            </a:solidFill>
          </a:endParaRPr>
        </a:p>
      </xdr:txBody>
    </xdr:sp>
    <xdr:clientData/>
  </xdr:twoCellAnchor>
  <xdr:twoCellAnchor>
    <xdr:from>
      <xdr:col>17</xdr:col>
      <xdr:colOff>253831</xdr:colOff>
      <xdr:row>11</xdr:row>
      <xdr:rowOff>12867</xdr:rowOff>
    </xdr:from>
    <xdr:to>
      <xdr:col>18</xdr:col>
      <xdr:colOff>628212</xdr:colOff>
      <xdr:row>13</xdr:row>
      <xdr:rowOff>120025</xdr:rowOff>
    </xdr:to>
    <xdr:sp macro="" textlink="Stationery2024!L7">
      <xdr:nvSpPr>
        <xdr:cNvPr id="39" name="Rectangle 38">
          <a:extLst>
            <a:ext uri="{FF2B5EF4-FFF2-40B4-BE49-F238E27FC236}">
              <a16:creationId xmlns:a16="http://schemas.microsoft.com/office/drawing/2014/main" id="{8D0BA6A6-8804-4F6B-ADC1-B48C7C448C35}"/>
            </a:ext>
          </a:extLst>
        </xdr:cNvPr>
        <xdr:cNvSpPr/>
      </xdr:nvSpPr>
      <xdr:spPr>
        <a:xfrm>
          <a:off x="11301839" y="1977398"/>
          <a:ext cx="1024264" cy="464346"/>
        </a:xfrm>
        <a:prstGeom prst="rect">
          <a:avLst/>
        </a:prstGeom>
        <a:solidFill>
          <a:schemeClr val="accent2">
            <a:lumMod val="20000"/>
            <a:lumOff val="80000"/>
          </a:schemeClr>
        </a:solid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DC52998-9EA4-4185-8239-718A718CDE3F}" type="TxLink">
            <a:rPr lang="en-US" sz="2400" b="1" i="0" u="none" strike="noStrike">
              <a:solidFill>
                <a:schemeClr val="tx1"/>
              </a:solidFill>
              <a:latin typeface="Aptos Narrow"/>
              <a:ea typeface="+mn-ea"/>
              <a:cs typeface="+mn-cs"/>
            </a:rPr>
            <a:pPr marL="0" indent="0" algn="l"/>
            <a:t>15%</a:t>
          </a:fld>
          <a:endParaRPr lang="en-IN" sz="2400" b="1" i="0" u="none" strike="noStrike">
            <a:solidFill>
              <a:schemeClr val="tx1"/>
            </a:solidFill>
            <a:latin typeface="Aptos Narrow"/>
            <a:ea typeface="+mn-ea"/>
            <a:cs typeface="+mn-cs"/>
          </a:endParaRPr>
        </a:p>
      </xdr:txBody>
    </xdr:sp>
    <xdr:clientData/>
  </xdr:twoCellAnchor>
  <xdr:twoCellAnchor>
    <xdr:from>
      <xdr:col>11</xdr:col>
      <xdr:colOff>113881</xdr:colOff>
      <xdr:row>11</xdr:row>
      <xdr:rowOff>28334</xdr:rowOff>
    </xdr:from>
    <xdr:to>
      <xdr:col>14</xdr:col>
      <xdr:colOff>62143</xdr:colOff>
      <xdr:row>13</xdr:row>
      <xdr:rowOff>159301</xdr:rowOff>
    </xdr:to>
    <xdr:sp macro="" textlink="Stationery2024!L6">
      <xdr:nvSpPr>
        <xdr:cNvPr id="40" name="Rectangle 39">
          <a:extLst>
            <a:ext uri="{FF2B5EF4-FFF2-40B4-BE49-F238E27FC236}">
              <a16:creationId xmlns:a16="http://schemas.microsoft.com/office/drawing/2014/main" id="{12DA8599-0B1F-4DEA-96B0-A24C5BD64D82}"/>
            </a:ext>
          </a:extLst>
        </xdr:cNvPr>
        <xdr:cNvSpPr/>
      </xdr:nvSpPr>
      <xdr:spPr>
        <a:xfrm>
          <a:off x="7262592" y="1992865"/>
          <a:ext cx="1897910" cy="488155"/>
        </a:xfrm>
        <a:prstGeom prst="rect">
          <a:avLst/>
        </a:prstGeom>
        <a:solidFill>
          <a:schemeClr val="accent3">
            <a:lumMod val="20000"/>
            <a:lumOff val="80000"/>
          </a:schemeClr>
        </a:solidFill>
        <a:ln>
          <a:solidFill>
            <a:schemeClr val="accent3">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EC30D77-49CA-435A-804F-28A9DC07E959}" type="TxLink">
            <a:rPr lang="en-US" sz="2400" b="1" i="0" u="none" strike="noStrike">
              <a:solidFill>
                <a:schemeClr val="tx1"/>
              </a:solidFill>
              <a:latin typeface="Aptos Narrow"/>
              <a:ea typeface="+mn-ea"/>
              <a:cs typeface="+mn-cs"/>
            </a:rPr>
            <a:pPr marL="0" indent="0" algn="l"/>
            <a:t>₹ 11,920.00</a:t>
          </a:fld>
          <a:endParaRPr lang="en-IN" sz="2400" b="1" i="0" u="none" strike="noStrike">
            <a:solidFill>
              <a:schemeClr val="tx1"/>
            </a:solidFill>
            <a:latin typeface="Aptos Narrow"/>
            <a:ea typeface="+mn-ea"/>
            <a:cs typeface="+mn-cs"/>
          </a:endParaRPr>
        </a:p>
      </xdr:txBody>
    </xdr:sp>
    <xdr:clientData/>
  </xdr:twoCellAnchor>
  <xdr:twoCellAnchor editAs="oneCell">
    <xdr:from>
      <xdr:col>14</xdr:col>
      <xdr:colOff>481996</xdr:colOff>
      <xdr:row>9</xdr:row>
      <xdr:rowOff>28721</xdr:rowOff>
    </xdr:from>
    <xdr:to>
      <xdr:col>15</xdr:col>
      <xdr:colOff>649361</xdr:colOff>
      <xdr:row>13</xdr:row>
      <xdr:rowOff>107051</xdr:rowOff>
    </xdr:to>
    <xdr:pic>
      <xdr:nvPicPr>
        <xdr:cNvPr id="42" name="Graphic 41" descr="Bar graph with upward trend with solid fill">
          <a:extLst>
            <a:ext uri="{FF2B5EF4-FFF2-40B4-BE49-F238E27FC236}">
              <a16:creationId xmlns:a16="http://schemas.microsoft.com/office/drawing/2014/main" id="{59932EFF-65E5-A892-7DB0-9FB0AC3852D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580355" y="1636065"/>
          <a:ext cx="817249" cy="792705"/>
        </a:xfrm>
        <a:prstGeom prst="rect">
          <a:avLst/>
        </a:prstGeom>
      </xdr:spPr>
    </xdr:pic>
    <xdr:clientData/>
  </xdr:twoCellAnchor>
  <xdr:twoCellAnchor>
    <xdr:from>
      <xdr:col>3</xdr:col>
      <xdr:colOff>366713</xdr:colOff>
      <xdr:row>17</xdr:row>
      <xdr:rowOff>31098</xdr:rowOff>
    </xdr:from>
    <xdr:to>
      <xdr:col>9</xdr:col>
      <xdr:colOff>0</xdr:colOff>
      <xdr:row>33</xdr:row>
      <xdr:rowOff>171979</xdr:rowOff>
    </xdr:to>
    <xdr:graphicFrame macro="">
      <xdr:nvGraphicFramePr>
        <xdr:cNvPr id="43" name="Chart 42">
          <a:extLst>
            <a:ext uri="{FF2B5EF4-FFF2-40B4-BE49-F238E27FC236}">
              <a16:creationId xmlns:a16="http://schemas.microsoft.com/office/drawing/2014/main" id="{90E1C628-3AB5-48C3-8E77-E8D90225B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51211</xdr:colOff>
      <xdr:row>17</xdr:row>
      <xdr:rowOff>57558</xdr:rowOff>
    </xdr:from>
    <xdr:to>
      <xdr:col>14</xdr:col>
      <xdr:colOff>240687</xdr:colOff>
      <xdr:row>34</xdr:row>
      <xdr:rowOff>6614</xdr:rowOff>
    </xdr:to>
    <xdr:graphicFrame macro="">
      <xdr:nvGraphicFramePr>
        <xdr:cNvPr id="44" name="Chart 43">
          <a:extLst>
            <a:ext uri="{FF2B5EF4-FFF2-40B4-BE49-F238E27FC236}">
              <a16:creationId xmlns:a16="http://schemas.microsoft.com/office/drawing/2014/main" id="{4A82F399-DED7-4BFD-9B9D-7D5212210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206408</xdr:colOff>
      <xdr:row>7</xdr:row>
      <xdr:rowOff>155037</xdr:rowOff>
    </xdr:from>
    <xdr:to>
      <xdr:col>3</xdr:col>
      <xdr:colOff>84851</xdr:colOff>
      <xdr:row>18</xdr:row>
      <xdr:rowOff>61451</xdr:rowOff>
    </xdr:to>
    <mc:AlternateContent xmlns:mc="http://schemas.openxmlformats.org/markup-compatibility/2006" xmlns:a14="http://schemas.microsoft.com/office/drawing/2010/main">
      <mc:Choice Requires="a14">
        <xdr:graphicFrame macro="">
          <xdr:nvGraphicFramePr>
            <xdr:cNvPr id="46" name="Product 1">
              <a:extLst>
                <a:ext uri="{FF2B5EF4-FFF2-40B4-BE49-F238E27FC236}">
                  <a16:creationId xmlns:a16="http://schemas.microsoft.com/office/drawing/2014/main" id="{019EFCEA-1484-4E7F-A6D2-E26F2776C95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6408" y="1425037"/>
              <a:ext cx="1817461" cy="1902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196166</xdr:colOff>
      <xdr:row>20</xdr:row>
      <xdr:rowOff>19943</xdr:rowOff>
    </xdr:from>
    <xdr:to>
      <xdr:col>3</xdr:col>
      <xdr:colOff>76813</xdr:colOff>
      <xdr:row>27</xdr:row>
      <xdr:rowOff>56330</xdr:rowOff>
    </xdr:to>
    <mc:AlternateContent xmlns:mc="http://schemas.openxmlformats.org/markup-compatibility/2006" xmlns:a14="http://schemas.microsoft.com/office/drawing/2010/main">
      <mc:Choice Requires="a14">
        <xdr:graphicFrame macro="">
          <xdr:nvGraphicFramePr>
            <xdr:cNvPr id="47" name="Region 1">
              <a:extLst>
                <a:ext uri="{FF2B5EF4-FFF2-40B4-BE49-F238E27FC236}">
                  <a16:creationId xmlns:a16="http://schemas.microsoft.com/office/drawing/2014/main" id="{94AD6574-B9C9-4571-8584-AC61A7F130C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6166" y="3648514"/>
              <a:ext cx="1819665" cy="1306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172756</xdr:colOff>
      <xdr:row>28</xdr:row>
      <xdr:rowOff>155282</xdr:rowOff>
    </xdr:from>
    <xdr:to>
      <xdr:col>3</xdr:col>
      <xdr:colOff>65830</xdr:colOff>
      <xdr:row>34</xdr:row>
      <xdr:rowOff>41903</xdr:rowOff>
    </xdr:to>
    <mc:AlternateContent xmlns:mc="http://schemas.openxmlformats.org/markup-compatibility/2006" xmlns:a14="http://schemas.microsoft.com/office/drawing/2010/main">
      <mc:Choice Requires="a14">
        <xdr:graphicFrame macro="">
          <xdr:nvGraphicFramePr>
            <xdr:cNvPr id="48" name="Category 1">
              <a:extLst>
                <a:ext uri="{FF2B5EF4-FFF2-40B4-BE49-F238E27FC236}">
                  <a16:creationId xmlns:a16="http://schemas.microsoft.com/office/drawing/2014/main" id="{36B446EF-64D2-448A-A43E-28C2806FF1D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2756" y="5235282"/>
              <a:ext cx="1832092" cy="975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291895</xdr:colOff>
      <xdr:row>17</xdr:row>
      <xdr:rowOff>15363</xdr:rowOff>
    </xdr:from>
    <xdr:to>
      <xdr:col>19</xdr:col>
      <xdr:colOff>568426</xdr:colOff>
      <xdr:row>34</xdr:row>
      <xdr:rowOff>76814</xdr:rowOff>
    </xdr:to>
    <xdr:sp macro="" textlink="">
      <xdr:nvSpPr>
        <xdr:cNvPr id="49" name="Rectangle: Rounded Corners 48">
          <a:extLst>
            <a:ext uri="{FF2B5EF4-FFF2-40B4-BE49-F238E27FC236}">
              <a16:creationId xmlns:a16="http://schemas.microsoft.com/office/drawing/2014/main" id="{F284D89C-94F5-04A4-F5F0-8A25DAC5EFDD}"/>
            </a:ext>
          </a:extLst>
        </xdr:cNvPr>
        <xdr:cNvSpPr/>
      </xdr:nvSpPr>
      <xdr:spPr>
        <a:xfrm>
          <a:off x="9325282" y="3062339"/>
          <a:ext cx="3502741" cy="3108427"/>
        </a:xfrm>
        <a:prstGeom prst="roundRect">
          <a:avLst/>
        </a:prstGeom>
        <a:solidFill>
          <a:schemeClr val="accent2">
            <a:lumMod val="20000"/>
            <a:lumOff val="80000"/>
          </a:schemeClr>
        </a:solidFill>
        <a:ln>
          <a:solidFill>
            <a:schemeClr val="accent2">
              <a:lumMod val="60000"/>
              <a:lumOff val="40000"/>
            </a:schemeClr>
          </a:solidFill>
        </a:ln>
        <a:effectLst>
          <a:outerShdw blurRad="50800" dist="38100" dir="8100000" algn="tr" rotWithShape="0">
            <a:schemeClr val="accent2">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2">
                  <a:lumMod val="60000"/>
                  <a:lumOff val="40000"/>
                </a:schemeClr>
              </a:solidFill>
            </a:rPr>
            <a:t>Key</a:t>
          </a:r>
          <a:r>
            <a:rPr lang="en-IN" sz="2000" b="1" baseline="0">
              <a:solidFill>
                <a:schemeClr val="accent2">
                  <a:lumMod val="60000"/>
                  <a:lumOff val="40000"/>
                </a:schemeClr>
              </a:solidFill>
            </a:rPr>
            <a:t> Insights</a:t>
          </a:r>
        </a:p>
        <a:p>
          <a:pPr algn="ctr"/>
          <a:endParaRPr lang="en-IN" sz="2000" b="1" baseline="0">
            <a:solidFill>
              <a:schemeClr val="accent2">
                <a:lumMod val="60000"/>
                <a:lumOff val="40000"/>
              </a:schemeClr>
            </a:solidFill>
          </a:endParaRPr>
        </a:p>
        <a:p>
          <a:pPr lvl="1" algn="l"/>
          <a:r>
            <a:rPr lang="en-IN" sz="1400" b="1">
              <a:solidFill>
                <a:schemeClr val="accent2">
                  <a:lumMod val="75000"/>
                </a:schemeClr>
              </a:solidFill>
            </a:rPr>
            <a:t>Writing category drives majority of sales .</a:t>
          </a:r>
        </a:p>
        <a:p>
          <a:pPr lvl="1" algn="l"/>
          <a:r>
            <a:rPr lang="en-IN" sz="1400" b="1">
              <a:solidFill>
                <a:schemeClr val="accent2">
                  <a:lumMod val="75000"/>
                </a:schemeClr>
              </a:solidFill>
            </a:rPr>
            <a:t>Profit margin is low (~15%).</a:t>
          </a:r>
        </a:p>
        <a:p>
          <a:pPr lvl="1" algn="l"/>
          <a:r>
            <a:rPr lang="en-IN" sz="1400" b="1">
              <a:solidFill>
                <a:schemeClr val="accent2">
                  <a:lumMod val="75000"/>
                </a:schemeClr>
              </a:solidFill>
            </a:rPr>
            <a:t>UP region shows strong       profitability. </a:t>
          </a:r>
        </a:p>
        <a:p>
          <a:pPr lvl="1" algn="l"/>
          <a:r>
            <a:rPr lang="en-IN" sz="1400" b="1">
              <a:solidFill>
                <a:schemeClr val="accent2">
                  <a:lumMod val="75000"/>
                </a:schemeClr>
              </a:solidFill>
            </a:rPr>
            <a:t>Focus needed on improving margins.</a:t>
          </a:r>
          <a:endParaRPr lang="en-IN" sz="1400" b="1" baseline="0">
            <a:solidFill>
              <a:schemeClr val="accent2">
                <a:lumMod val="75000"/>
              </a:schemeClr>
            </a:solidFill>
          </a:endParaRPr>
        </a:p>
        <a:p>
          <a:pPr algn="ctr"/>
          <a:endParaRPr lang="en-IN" sz="2000" b="1" baseline="0">
            <a:solidFill>
              <a:schemeClr val="accent2">
                <a:lumMod val="60000"/>
                <a:lumOff val="40000"/>
              </a:schemeClr>
            </a:solidFill>
          </a:endParaRPr>
        </a:p>
        <a:p>
          <a:pPr algn="ctr"/>
          <a:endParaRPr lang="en-IN" sz="2000" b="1" baseline="0">
            <a:solidFill>
              <a:schemeClr val="accent2">
                <a:lumMod val="60000"/>
                <a:lumOff val="40000"/>
              </a:schemeClr>
            </a:solidFill>
          </a:endParaRPr>
        </a:p>
        <a:p>
          <a:pPr algn="ctr"/>
          <a:endParaRPr lang="en-IN" sz="2000" b="1" baseline="0">
            <a:solidFill>
              <a:schemeClr val="accent2">
                <a:lumMod val="60000"/>
                <a:lumOff val="40000"/>
              </a:schemeClr>
            </a:solidFill>
          </a:endParaRPr>
        </a:p>
        <a:p>
          <a:pPr algn="ctr"/>
          <a:endParaRPr lang="en-IN" sz="1100" b="1">
            <a:solidFill>
              <a:schemeClr val="accent2">
                <a:lumMod val="60000"/>
                <a:lumOff val="40000"/>
              </a:schemeClr>
            </a:solidFill>
          </a:endParaRPr>
        </a:p>
      </xdr:txBody>
    </xdr:sp>
    <xdr:clientData/>
  </xdr:twoCellAnchor>
  <xdr:twoCellAnchor editAs="oneCell">
    <xdr:from>
      <xdr:col>15</xdr:col>
      <xdr:colOff>215080</xdr:colOff>
      <xdr:row>17</xdr:row>
      <xdr:rowOff>133146</xdr:rowOff>
    </xdr:from>
    <xdr:to>
      <xdr:col>16</xdr:col>
      <xdr:colOff>61451</xdr:colOff>
      <xdr:row>20</xdr:row>
      <xdr:rowOff>87058</xdr:rowOff>
    </xdr:to>
    <xdr:pic>
      <xdr:nvPicPr>
        <xdr:cNvPr id="51" name="Graphic 50" descr="List with solid fill">
          <a:extLst>
            <a:ext uri="{FF2B5EF4-FFF2-40B4-BE49-F238E27FC236}">
              <a16:creationId xmlns:a16="http://schemas.microsoft.com/office/drawing/2014/main" id="{977C0AC8-0F0C-6244-9F06-A4CF193B6AE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893709" y="3180122"/>
          <a:ext cx="491613" cy="491613"/>
        </a:xfrm>
        <a:prstGeom prst="rect">
          <a:avLst/>
        </a:prstGeom>
      </xdr:spPr>
    </xdr:pic>
    <xdr:clientData/>
  </xdr:twoCellAnchor>
  <xdr:twoCellAnchor editAs="oneCell">
    <xdr:from>
      <xdr:col>14</xdr:col>
      <xdr:colOff>563307</xdr:colOff>
      <xdr:row>21</xdr:row>
      <xdr:rowOff>35847</xdr:rowOff>
    </xdr:from>
    <xdr:to>
      <xdr:col>15</xdr:col>
      <xdr:colOff>302136</xdr:colOff>
      <xdr:row>23</xdr:row>
      <xdr:rowOff>61450</xdr:rowOff>
    </xdr:to>
    <xdr:pic>
      <xdr:nvPicPr>
        <xdr:cNvPr id="54" name="Graphic 53" descr="Arrow: Slight curve with solid fill">
          <a:extLst>
            <a:ext uri="{FF2B5EF4-FFF2-40B4-BE49-F238E27FC236}">
              <a16:creationId xmlns:a16="http://schemas.microsoft.com/office/drawing/2014/main" id="{D7E4309F-EB04-D3CB-8329-609C5CF5DAE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596694" y="3799759"/>
          <a:ext cx="384071" cy="384071"/>
        </a:xfrm>
        <a:prstGeom prst="rect">
          <a:avLst/>
        </a:prstGeom>
      </xdr:spPr>
    </xdr:pic>
    <xdr:clientData/>
  </xdr:twoCellAnchor>
  <xdr:twoCellAnchor editAs="oneCell">
    <xdr:from>
      <xdr:col>14</xdr:col>
      <xdr:colOff>573550</xdr:colOff>
      <xdr:row>24</xdr:row>
      <xdr:rowOff>143386</xdr:rowOff>
    </xdr:from>
    <xdr:to>
      <xdr:col>15</xdr:col>
      <xdr:colOff>312379</xdr:colOff>
      <xdr:row>26</xdr:row>
      <xdr:rowOff>168989</xdr:rowOff>
    </xdr:to>
    <xdr:pic>
      <xdr:nvPicPr>
        <xdr:cNvPr id="55" name="Graphic 54" descr="Arrow: Slight curve with solid fill">
          <a:extLst>
            <a:ext uri="{FF2B5EF4-FFF2-40B4-BE49-F238E27FC236}">
              <a16:creationId xmlns:a16="http://schemas.microsoft.com/office/drawing/2014/main" id="{61EE826D-2FDE-4C0C-8852-2267FE8130A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606937" y="4444999"/>
          <a:ext cx="384071" cy="384071"/>
        </a:xfrm>
        <a:prstGeom prst="rect">
          <a:avLst/>
        </a:prstGeom>
      </xdr:spPr>
    </xdr:pic>
    <xdr:clientData/>
  </xdr:twoCellAnchor>
  <xdr:twoCellAnchor editAs="oneCell">
    <xdr:from>
      <xdr:col>14</xdr:col>
      <xdr:colOff>567199</xdr:colOff>
      <xdr:row>23</xdr:row>
      <xdr:rowOff>111431</xdr:rowOff>
    </xdr:from>
    <xdr:to>
      <xdr:col>15</xdr:col>
      <xdr:colOff>306028</xdr:colOff>
      <xdr:row>25</xdr:row>
      <xdr:rowOff>137035</xdr:rowOff>
    </xdr:to>
    <xdr:pic>
      <xdr:nvPicPr>
        <xdr:cNvPr id="56" name="Graphic 55" descr="Arrow: Slight curve with solid fill">
          <a:extLst>
            <a:ext uri="{FF2B5EF4-FFF2-40B4-BE49-F238E27FC236}">
              <a16:creationId xmlns:a16="http://schemas.microsoft.com/office/drawing/2014/main" id="{66F6AB09-6A30-4ED6-83F9-B10FB18A9DB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600586" y="4233811"/>
          <a:ext cx="384071" cy="384071"/>
        </a:xfrm>
        <a:prstGeom prst="rect">
          <a:avLst/>
        </a:prstGeom>
      </xdr:spPr>
    </xdr:pic>
    <xdr:clientData/>
  </xdr:twoCellAnchor>
  <xdr:twoCellAnchor editAs="oneCell">
    <xdr:from>
      <xdr:col>14</xdr:col>
      <xdr:colOff>555728</xdr:colOff>
      <xdr:row>27</xdr:row>
      <xdr:rowOff>33388</xdr:rowOff>
    </xdr:from>
    <xdr:to>
      <xdr:col>15</xdr:col>
      <xdr:colOff>294557</xdr:colOff>
      <xdr:row>29</xdr:row>
      <xdr:rowOff>58991</xdr:rowOff>
    </xdr:to>
    <xdr:pic>
      <xdr:nvPicPr>
        <xdr:cNvPr id="57" name="Graphic 56" descr="Arrow: Slight curve with solid fill">
          <a:extLst>
            <a:ext uri="{FF2B5EF4-FFF2-40B4-BE49-F238E27FC236}">
              <a16:creationId xmlns:a16="http://schemas.microsoft.com/office/drawing/2014/main" id="{A2EAF6E2-2FCA-43EE-8804-F08FF72D957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589115" y="4872703"/>
          <a:ext cx="384071" cy="3840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refreshedDate="46143.541228703703" createdVersion="8" refreshedVersion="8" minRefreshableVersion="3" recordCount="81" xr:uid="{1BC9CE16-EDE4-4490-A18A-761481C72490}">
  <cacheSource type="worksheet">
    <worksheetSource ref="C1:D1048576" sheet="Stationery2024"/>
  </cacheSource>
  <cacheFields count="2">
    <cacheField name="Category" numFmtId="0">
      <sharedItems containsBlank="1" count="3">
        <s v="Writing"/>
        <s v="Office Supplies"/>
        <m/>
      </sharedItems>
    </cacheField>
    <cacheField name="Sales" numFmtId="164">
      <sharedItems containsString="0" containsBlank="1" containsNumber="1" containsInteger="1" minValue="500" maxValue="1630"/>
    </cacheField>
  </cacheFields>
  <extLst>
    <ext xmlns:x14="http://schemas.microsoft.com/office/spreadsheetml/2009/9/main" uri="{725AE2AE-9491-48be-B2B4-4EB974FC3084}">
      <x14:pivotCacheDefinition pivotCacheId="18434447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refreshedDate="46143.548129282404" createdVersion="8" refreshedVersion="8" minRefreshableVersion="3" recordCount="81" xr:uid="{52368F51-9D04-4F32-BDBA-D38AE8C38329}">
  <cacheSource type="worksheet">
    <worksheetSource ref="A1:I87" sheet="Stationery2024"/>
  </cacheSource>
  <cacheFields count="9">
    <cacheField name="Order Date" numFmtId="14">
      <sharedItems containsNonDate="0" containsDate="1" containsString="0" containsBlank="1" minDate="2024-01-01T00:00:00" maxDate="2024-03-26T00:00:00"/>
    </cacheField>
    <cacheField name="Product" numFmtId="0">
      <sharedItems containsBlank="1" count="6">
        <s v="Pen"/>
        <s v="Notebook"/>
        <s v="Marker"/>
        <s v="File"/>
        <s v="Stapler"/>
        <m/>
      </sharedItems>
    </cacheField>
    <cacheField name="Category" numFmtId="0">
      <sharedItems containsBlank="1"/>
    </cacheField>
    <cacheField name="Sales" numFmtId="164">
      <sharedItems containsString="0" containsBlank="1" containsNumber="1" containsInteger="1" minValue="500" maxValue="1630"/>
    </cacheField>
    <cacheField name="Cost" numFmtId="164">
      <sharedItems containsString="0" containsBlank="1" containsNumber="1" containsInteger="1" minValue="300" maxValue="1430"/>
    </cacheField>
    <cacheField name="Quantity" numFmtId="2">
      <sharedItems containsString="0" containsBlank="1" containsNumber="1" containsInteger="1" minValue="4" maxValue="12"/>
    </cacheField>
    <cacheField name="Region" numFmtId="0">
      <sharedItems containsBlank="1" count="4">
        <s v="Bihar"/>
        <s v="Delhi"/>
        <s v="UP"/>
        <m/>
      </sharedItems>
    </cacheField>
    <cacheField name="Profit" numFmtId="164">
      <sharedItems containsString="0" containsBlank="1" containsNumber="1" containsInteger="1" minValue="20" maxValue="310"/>
    </cacheField>
    <cacheField name="Profit Margin" numFmtId="2">
      <sharedItems containsString="0" containsBlank="1" containsNumber="1" minValue="2.2727272727272728E-2" maxValue="0.45454545454545453"/>
    </cacheField>
  </cacheFields>
  <extLst>
    <ext xmlns:x14="http://schemas.microsoft.com/office/spreadsheetml/2009/9/main" uri="{725AE2AE-9491-48be-B2B4-4EB974FC3084}">
      <x14:pivotCacheDefinition pivotCacheId="183792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x v="0"/>
    <n v="500"/>
  </r>
  <r>
    <x v="0"/>
    <n v="1200"/>
  </r>
  <r>
    <x v="0"/>
    <n v="900"/>
  </r>
  <r>
    <x v="1"/>
    <n v="1500"/>
  </r>
  <r>
    <x v="1"/>
    <n v="900"/>
  </r>
  <r>
    <x v="0"/>
    <n v="600"/>
  </r>
  <r>
    <x v="0"/>
    <n v="1100"/>
  </r>
  <r>
    <x v="0"/>
    <n v="750"/>
  </r>
  <r>
    <x v="1"/>
    <n v="1400"/>
  </r>
  <r>
    <x v="1"/>
    <n v="950"/>
  </r>
  <r>
    <x v="0"/>
    <n v="550"/>
  </r>
  <r>
    <x v="0"/>
    <n v="1300"/>
  </r>
  <r>
    <x v="0"/>
    <n v="820"/>
  </r>
  <r>
    <x v="1"/>
    <n v="1600"/>
  </r>
  <r>
    <x v="1"/>
    <n v="880"/>
  </r>
  <r>
    <x v="0"/>
    <n v="620"/>
  </r>
  <r>
    <x v="0"/>
    <n v="1250"/>
  </r>
  <r>
    <x v="0"/>
    <n v="770"/>
  </r>
  <r>
    <x v="1"/>
    <n v="1550"/>
  </r>
  <r>
    <x v="1"/>
    <n v="920"/>
  </r>
  <r>
    <x v="0"/>
    <n v="580"/>
  </r>
  <r>
    <x v="0"/>
    <n v="1150"/>
  </r>
  <r>
    <x v="0"/>
    <n v="790"/>
  </r>
  <r>
    <x v="1"/>
    <n v="1450"/>
  </r>
  <r>
    <x v="1"/>
    <n v="910"/>
  </r>
  <r>
    <x v="0"/>
    <n v="610"/>
  </r>
  <r>
    <x v="0"/>
    <n v="1280"/>
  </r>
  <r>
    <x v="0"/>
    <n v="810"/>
  </r>
  <r>
    <x v="1"/>
    <n v="1580"/>
  </r>
  <r>
    <x v="1"/>
    <n v="940"/>
  </r>
  <r>
    <x v="0"/>
    <n v="530"/>
  </r>
  <r>
    <x v="0"/>
    <n v="1180"/>
  </r>
  <r>
    <x v="0"/>
    <n v="830"/>
  </r>
  <r>
    <x v="1"/>
    <n v="1520"/>
  </r>
  <r>
    <x v="1"/>
    <n v="890"/>
  </r>
  <r>
    <x v="0"/>
    <n v="640"/>
  </r>
  <r>
    <x v="0"/>
    <n v="1120"/>
  </r>
  <r>
    <x v="0"/>
    <n v="760"/>
  </r>
  <r>
    <x v="1"/>
    <n v="1420"/>
  </r>
  <r>
    <x v="1"/>
    <n v="960"/>
  </r>
  <r>
    <x v="0"/>
    <n v="560"/>
  </r>
  <r>
    <x v="0"/>
    <n v="1320"/>
  </r>
  <r>
    <x v="0"/>
    <n v="840"/>
  </r>
  <r>
    <x v="1"/>
    <n v="1620"/>
  </r>
  <r>
    <x v="1"/>
    <n v="870"/>
  </r>
  <r>
    <x v="0"/>
    <n v="630"/>
  </r>
  <r>
    <x v="0"/>
    <n v="1270"/>
  </r>
  <r>
    <x v="0"/>
    <n v="780"/>
  </r>
  <r>
    <x v="1"/>
    <n v="1570"/>
  </r>
  <r>
    <x v="1"/>
    <n v="930"/>
  </r>
  <r>
    <x v="0"/>
    <n v="590"/>
  </r>
  <r>
    <x v="0"/>
    <n v="1160"/>
  </r>
  <r>
    <x v="0"/>
    <n v="800"/>
  </r>
  <r>
    <x v="1"/>
    <n v="1470"/>
  </r>
  <r>
    <x v="1"/>
    <n v="920"/>
  </r>
  <r>
    <x v="0"/>
    <n v="540"/>
  </r>
  <r>
    <x v="0"/>
    <n v="1190"/>
  </r>
  <r>
    <x v="0"/>
    <n v="820"/>
  </r>
  <r>
    <x v="1"/>
    <n v="1530"/>
  </r>
  <r>
    <x v="1"/>
    <n v="900"/>
  </r>
  <r>
    <x v="0"/>
    <n v="650"/>
  </r>
  <r>
    <x v="0"/>
    <n v="1130"/>
  </r>
  <r>
    <x v="0"/>
    <n v="770"/>
  </r>
  <r>
    <x v="1"/>
    <n v="1430"/>
  </r>
  <r>
    <x v="1"/>
    <n v="970"/>
  </r>
  <r>
    <x v="0"/>
    <n v="570"/>
  </r>
  <r>
    <x v="0"/>
    <n v="1340"/>
  </r>
  <r>
    <x v="0"/>
    <n v="850"/>
  </r>
  <r>
    <x v="1"/>
    <n v="1630"/>
  </r>
  <r>
    <x v="1"/>
    <n v="880"/>
  </r>
  <r>
    <x v="0"/>
    <n v="640"/>
  </r>
  <r>
    <x v="0"/>
    <n v="1280"/>
  </r>
  <r>
    <x v="0"/>
    <n v="790"/>
  </r>
  <r>
    <x v="1"/>
    <n v="1580"/>
  </r>
  <r>
    <x v="1"/>
    <n v="940"/>
  </r>
  <r>
    <x v="0"/>
    <n v="600"/>
  </r>
  <r>
    <x v="0"/>
    <n v="1180"/>
  </r>
  <r>
    <x v="0"/>
    <n v="810"/>
  </r>
  <r>
    <x v="1"/>
    <n v="1480"/>
  </r>
  <r>
    <x v="1"/>
    <n v="930"/>
  </r>
  <r>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d v="2024-01-01T00:00:00"/>
    <x v="0"/>
    <s v="Writing"/>
    <n v="500"/>
    <n v="350"/>
    <n v="10"/>
    <x v="0"/>
    <n v="150"/>
    <n v="0.3"/>
  </r>
  <r>
    <d v="2024-01-02T00:00:00"/>
    <x v="1"/>
    <s v="Writing"/>
    <n v="1200"/>
    <n v="900"/>
    <n v="5"/>
    <x v="1"/>
    <n v="300"/>
    <n v="0.25"/>
  </r>
  <r>
    <d v="2024-01-03T00:00:00"/>
    <x v="2"/>
    <s v="Writing"/>
    <n v="900"/>
    <n v="700"/>
    <n v="8"/>
    <x v="2"/>
    <n v="200"/>
    <n v="0.22222222222222221"/>
  </r>
  <r>
    <d v="2024-01-04T00:00:00"/>
    <x v="3"/>
    <s v="Office Supplies"/>
    <n v="1500"/>
    <n v="1300"/>
    <n v="6"/>
    <x v="0"/>
    <n v="200"/>
    <n v="0.13333333333333333"/>
  </r>
  <r>
    <d v="2024-01-05T00:00:00"/>
    <x v="4"/>
    <s v="Office Supplies"/>
    <n v="900"/>
    <n v="850"/>
    <n v="4"/>
    <x v="1"/>
    <n v="50"/>
    <n v="5.5555555555555552E-2"/>
  </r>
  <r>
    <d v="2024-01-06T00:00:00"/>
    <x v="0"/>
    <s v="Writing"/>
    <n v="600"/>
    <n v="400"/>
    <n v="12"/>
    <x v="2"/>
    <n v="200"/>
    <n v="0.33333333333333331"/>
  </r>
  <r>
    <d v="2024-01-07T00:00:00"/>
    <x v="1"/>
    <s v="Writing"/>
    <n v="1100"/>
    <n v="950"/>
    <n v="6"/>
    <x v="0"/>
    <n v="150"/>
    <n v="0.13636363636363635"/>
  </r>
  <r>
    <d v="2024-01-08T00:00:00"/>
    <x v="2"/>
    <s v="Writing"/>
    <n v="750"/>
    <n v="720"/>
    <n v="7"/>
    <x v="1"/>
    <n v="30"/>
    <n v="0.04"/>
  </r>
  <r>
    <d v="2024-01-09T00:00:00"/>
    <x v="3"/>
    <s v="Office Supplies"/>
    <n v="1400"/>
    <n v="1200"/>
    <n v="5"/>
    <x v="2"/>
    <n v="200"/>
    <n v="0.14285714285714285"/>
  </r>
  <r>
    <d v="2024-01-10T00:00:00"/>
    <x v="4"/>
    <s v="Office Supplies"/>
    <n v="950"/>
    <n v="870"/>
    <n v="5"/>
    <x v="0"/>
    <n v="80"/>
    <n v="8.4210526315789472E-2"/>
  </r>
  <r>
    <d v="2024-01-11T00:00:00"/>
    <x v="0"/>
    <s v="Writing"/>
    <n v="550"/>
    <n v="300"/>
    <n v="11"/>
    <x v="1"/>
    <n v="250"/>
    <n v="0.45454545454545453"/>
  </r>
  <r>
    <d v="2024-01-12T00:00:00"/>
    <x v="1"/>
    <s v="Writing"/>
    <n v="1300"/>
    <n v="1000"/>
    <n v="7"/>
    <x v="2"/>
    <n v="300"/>
    <n v="0.23076923076923078"/>
  </r>
  <r>
    <d v="2024-01-13T00:00:00"/>
    <x v="2"/>
    <s v="Writing"/>
    <n v="820"/>
    <n v="780"/>
    <n v="6"/>
    <x v="0"/>
    <n v="40"/>
    <n v="4.878048780487805E-2"/>
  </r>
  <r>
    <d v="2024-01-14T00:00:00"/>
    <x v="3"/>
    <s v="Office Supplies"/>
    <n v="1600"/>
    <n v="1400"/>
    <n v="7"/>
    <x v="1"/>
    <n v="200"/>
    <n v="0.125"/>
  </r>
  <r>
    <d v="2024-01-15T00:00:00"/>
    <x v="4"/>
    <s v="Office Supplies"/>
    <n v="880"/>
    <n v="860"/>
    <n v="4"/>
    <x v="2"/>
    <n v="20"/>
    <n v="2.2727272727272728E-2"/>
  </r>
  <r>
    <d v="2024-01-16T00:00:00"/>
    <x v="0"/>
    <s v="Writing"/>
    <n v="620"/>
    <n v="410"/>
    <n v="10"/>
    <x v="0"/>
    <n v="210"/>
    <n v="0.33870967741935482"/>
  </r>
  <r>
    <d v="2024-01-17T00:00:00"/>
    <x v="1"/>
    <s v="Writing"/>
    <n v="1250"/>
    <n v="980"/>
    <n v="6"/>
    <x v="1"/>
    <n v="270"/>
    <n v="0.216"/>
  </r>
  <r>
    <d v="2024-01-18T00:00:00"/>
    <x v="2"/>
    <s v="Writing"/>
    <n v="770"/>
    <n v="740"/>
    <n v="8"/>
    <x v="2"/>
    <n v="30"/>
    <n v="3.896103896103896E-2"/>
  </r>
  <r>
    <d v="2024-01-19T00:00:00"/>
    <x v="3"/>
    <s v="Office Supplies"/>
    <n v="1550"/>
    <n v="1350"/>
    <n v="6"/>
    <x v="0"/>
    <n v="200"/>
    <n v="0.12903225806451613"/>
  </r>
  <r>
    <d v="2024-01-20T00:00:00"/>
    <x v="4"/>
    <s v="Office Supplies"/>
    <n v="920"/>
    <n v="890"/>
    <n v="5"/>
    <x v="1"/>
    <n v="30"/>
    <n v="3.2608695652173912E-2"/>
  </r>
  <r>
    <d v="2024-01-21T00:00:00"/>
    <x v="0"/>
    <s v="Writing"/>
    <n v="580"/>
    <n v="320"/>
    <n v="9"/>
    <x v="2"/>
    <n v="260"/>
    <n v="0.44827586206896552"/>
  </r>
  <r>
    <d v="2024-01-22T00:00:00"/>
    <x v="1"/>
    <s v="Writing"/>
    <n v="1150"/>
    <n v="920"/>
    <n v="5"/>
    <x v="0"/>
    <n v="230"/>
    <n v="0.2"/>
  </r>
  <r>
    <d v="2024-01-23T00:00:00"/>
    <x v="2"/>
    <s v="Writing"/>
    <n v="790"/>
    <n v="760"/>
    <n v="7"/>
    <x v="1"/>
    <n v="30"/>
    <n v="3.7974683544303799E-2"/>
  </r>
  <r>
    <d v="2024-01-24T00:00:00"/>
    <x v="3"/>
    <s v="Office Supplies"/>
    <n v="1450"/>
    <n v="1250"/>
    <n v="6"/>
    <x v="2"/>
    <n v="200"/>
    <n v="0.13793103448275862"/>
  </r>
  <r>
    <d v="2024-01-25T00:00:00"/>
    <x v="4"/>
    <s v="Office Supplies"/>
    <n v="910"/>
    <n v="880"/>
    <n v="4"/>
    <x v="0"/>
    <n v="30"/>
    <n v="3.2967032967032968E-2"/>
  </r>
  <r>
    <d v="2024-01-26T00:00:00"/>
    <x v="0"/>
    <s v="Writing"/>
    <n v="610"/>
    <n v="390"/>
    <n v="10"/>
    <x v="1"/>
    <n v="220"/>
    <n v="0.36065573770491804"/>
  </r>
  <r>
    <d v="2024-01-27T00:00:00"/>
    <x v="1"/>
    <s v="Writing"/>
    <n v="1280"/>
    <n v="1020"/>
    <n v="6"/>
    <x v="2"/>
    <n v="260"/>
    <n v="0.203125"/>
  </r>
  <r>
    <d v="2024-01-28T00:00:00"/>
    <x v="2"/>
    <s v="Writing"/>
    <n v="810"/>
    <n v="770"/>
    <n v="7"/>
    <x v="0"/>
    <n v="40"/>
    <n v="4.9382716049382713E-2"/>
  </r>
  <r>
    <d v="2024-01-29T00:00:00"/>
    <x v="3"/>
    <s v="Office Supplies"/>
    <n v="1580"/>
    <n v="1380"/>
    <n v="7"/>
    <x v="1"/>
    <n v="200"/>
    <n v="0.12658227848101267"/>
  </r>
  <r>
    <d v="2024-01-30T00:00:00"/>
    <x v="4"/>
    <s v="Office Supplies"/>
    <n v="940"/>
    <n v="900"/>
    <n v="5"/>
    <x v="2"/>
    <n v="40"/>
    <n v="4.2553191489361701E-2"/>
  </r>
  <r>
    <d v="2024-02-01T00:00:00"/>
    <x v="0"/>
    <s v="Writing"/>
    <n v="530"/>
    <n v="360"/>
    <n v="10"/>
    <x v="0"/>
    <n v="170"/>
    <n v="0.32075471698113206"/>
  </r>
  <r>
    <d v="2024-02-02T00:00:00"/>
    <x v="1"/>
    <s v="Writing"/>
    <n v="1180"/>
    <n v="940"/>
    <n v="5"/>
    <x v="1"/>
    <n v="240"/>
    <n v="0.20338983050847459"/>
  </r>
  <r>
    <d v="2024-02-03T00:00:00"/>
    <x v="2"/>
    <s v="Writing"/>
    <n v="830"/>
    <n v="780"/>
    <n v="8"/>
    <x v="2"/>
    <n v="50"/>
    <n v="6.0240963855421686E-2"/>
  </r>
  <r>
    <d v="2024-02-04T00:00:00"/>
    <x v="3"/>
    <s v="Office Supplies"/>
    <n v="1520"/>
    <n v="1320"/>
    <n v="6"/>
    <x v="0"/>
    <n v="200"/>
    <n v="0.13157894736842105"/>
  </r>
  <r>
    <d v="2024-02-05T00:00:00"/>
    <x v="4"/>
    <s v="Office Supplies"/>
    <n v="890"/>
    <n v="860"/>
    <n v="4"/>
    <x v="1"/>
    <n v="30"/>
    <n v="3.3707865168539325E-2"/>
  </r>
  <r>
    <d v="2024-02-06T00:00:00"/>
    <x v="0"/>
    <s v="Writing"/>
    <n v="640"/>
    <n v="420"/>
    <n v="12"/>
    <x v="2"/>
    <n v="220"/>
    <n v="0.34375"/>
  </r>
  <r>
    <d v="2024-02-07T00:00:00"/>
    <x v="1"/>
    <s v="Writing"/>
    <n v="1120"/>
    <n v="960"/>
    <n v="6"/>
    <x v="0"/>
    <n v="160"/>
    <n v="0.14285714285714285"/>
  </r>
  <r>
    <d v="2024-02-08T00:00:00"/>
    <x v="2"/>
    <s v="Writing"/>
    <n v="760"/>
    <n v="740"/>
    <n v="7"/>
    <x v="1"/>
    <n v="20"/>
    <n v="2.6315789473684209E-2"/>
  </r>
  <r>
    <d v="2024-02-09T00:00:00"/>
    <x v="3"/>
    <s v="Office Supplies"/>
    <n v="1420"/>
    <n v="1220"/>
    <n v="5"/>
    <x v="2"/>
    <n v="200"/>
    <n v="0.14084507042253522"/>
  </r>
  <r>
    <d v="2024-02-10T00:00:00"/>
    <x v="4"/>
    <s v="Office Supplies"/>
    <n v="960"/>
    <n v="900"/>
    <n v="5"/>
    <x v="0"/>
    <n v="60"/>
    <n v="6.25E-2"/>
  </r>
  <r>
    <d v="2024-02-11T00:00:00"/>
    <x v="0"/>
    <s v="Writing"/>
    <n v="560"/>
    <n v="310"/>
    <n v="11"/>
    <x v="1"/>
    <n v="250"/>
    <n v="0.44642857142857145"/>
  </r>
  <r>
    <d v="2024-02-12T00:00:00"/>
    <x v="1"/>
    <s v="Writing"/>
    <n v="1320"/>
    <n v="1010"/>
    <n v="7"/>
    <x v="2"/>
    <n v="310"/>
    <n v="0.23484848484848486"/>
  </r>
  <r>
    <d v="2024-02-13T00:00:00"/>
    <x v="2"/>
    <s v="Writing"/>
    <n v="840"/>
    <n v="800"/>
    <n v="6"/>
    <x v="0"/>
    <n v="40"/>
    <n v="4.7619047619047616E-2"/>
  </r>
  <r>
    <d v="2024-02-14T00:00:00"/>
    <x v="3"/>
    <s v="Office Supplies"/>
    <n v="1620"/>
    <n v="1420"/>
    <n v="7"/>
    <x v="1"/>
    <n v="200"/>
    <n v="0.12345679012345678"/>
  </r>
  <r>
    <d v="2024-02-15T00:00:00"/>
    <x v="4"/>
    <s v="Office Supplies"/>
    <n v="870"/>
    <n v="850"/>
    <n v="4"/>
    <x v="2"/>
    <n v="20"/>
    <n v="2.2988505747126436E-2"/>
  </r>
  <r>
    <d v="2024-02-16T00:00:00"/>
    <x v="0"/>
    <s v="Writing"/>
    <n v="630"/>
    <n v="410"/>
    <n v="10"/>
    <x v="0"/>
    <n v="220"/>
    <n v="0.34920634920634919"/>
  </r>
  <r>
    <d v="2024-02-17T00:00:00"/>
    <x v="1"/>
    <s v="Writing"/>
    <n v="1270"/>
    <n v="1000"/>
    <n v="6"/>
    <x v="1"/>
    <n v="270"/>
    <n v="0.2125984251968504"/>
  </r>
  <r>
    <d v="2024-02-18T00:00:00"/>
    <x v="2"/>
    <s v="Writing"/>
    <n v="780"/>
    <n v="750"/>
    <n v="8"/>
    <x v="2"/>
    <n v="30"/>
    <n v="3.8461538461538464E-2"/>
  </r>
  <r>
    <d v="2024-02-19T00:00:00"/>
    <x v="3"/>
    <s v="Office Supplies"/>
    <n v="1570"/>
    <n v="1370"/>
    <n v="6"/>
    <x v="0"/>
    <n v="200"/>
    <n v="0.12738853503184713"/>
  </r>
  <r>
    <d v="2024-02-20T00:00:00"/>
    <x v="4"/>
    <s v="Office Supplies"/>
    <n v="930"/>
    <n v="900"/>
    <n v="5"/>
    <x v="1"/>
    <n v="30"/>
    <n v="3.2258064516129031E-2"/>
  </r>
  <r>
    <d v="2024-02-21T00:00:00"/>
    <x v="0"/>
    <s v="Writing"/>
    <n v="590"/>
    <n v="330"/>
    <n v="9"/>
    <x v="2"/>
    <n v="260"/>
    <n v="0.44067796610169491"/>
  </r>
  <r>
    <d v="2024-02-22T00:00:00"/>
    <x v="1"/>
    <s v="Writing"/>
    <n v="1160"/>
    <n v="940"/>
    <n v="5"/>
    <x v="0"/>
    <n v="220"/>
    <n v="0.18965517241379309"/>
  </r>
  <r>
    <d v="2024-02-23T00:00:00"/>
    <x v="2"/>
    <s v="Writing"/>
    <n v="800"/>
    <n v="770"/>
    <n v="7"/>
    <x v="1"/>
    <n v="30"/>
    <n v="3.7499999999999999E-2"/>
  </r>
  <r>
    <d v="2024-02-24T00:00:00"/>
    <x v="3"/>
    <s v="Office Supplies"/>
    <n v="1470"/>
    <n v="1270"/>
    <n v="6"/>
    <x v="2"/>
    <n v="200"/>
    <n v="0.1360544217687075"/>
  </r>
  <r>
    <d v="2024-02-25T00:00:00"/>
    <x v="4"/>
    <s v="Office Supplies"/>
    <n v="920"/>
    <n v="890"/>
    <n v="4"/>
    <x v="0"/>
    <n v="30"/>
    <n v="3.2608695652173912E-2"/>
  </r>
  <r>
    <d v="2024-03-01T00:00:00"/>
    <x v="0"/>
    <s v="Writing"/>
    <n v="540"/>
    <n v="370"/>
    <n v="10"/>
    <x v="0"/>
    <n v="170"/>
    <n v="0.31481481481481483"/>
  </r>
  <r>
    <d v="2024-03-02T00:00:00"/>
    <x v="1"/>
    <s v="Writing"/>
    <n v="1190"/>
    <n v="950"/>
    <n v="5"/>
    <x v="1"/>
    <n v="240"/>
    <n v="0.20168067226890757"/>
  </r>
  <r>
    <d v="2024-03-03T00:00:00"/>
    <x v="2"/>
    <s v="Writing"/>
    <n v="820"/>
    <n v="790"/>
    <n v="8"/>
    <x v="2"/>
    <n v="30"/>
    <n v="3.6585365853658534E-2"/>
  </r>
  <r>
    <d v="2024-03-04T00:00:00"/>
    <x v="3"/>
    <s v="Office Supplies"/>
    <n v="1530"/>
    <n v="1330"/>
    <n v="6"/>
    <x v="0"/>
    <n v="200"/>
    <n v="0.13071895424836602"/>
  </r>
  <r>
    <d v="2024-03-05T00:00:00"/>
    <x v="4"/>
    <s v="Office Supplies"/>
    <n v="900"/>
    <n v="870"/>
    <n v="4"/>
    <x v="1"/>
    <n v="30"/>
    <n v="3.3333333333333333E-2"/>
  </r>
  <r>
    <d v="2024-03-06T00:00:00"/>
    <x v="0"/>
    <s v="Writing"/>
    <n v="650"/>
    <n v="430"/>
    <n v="12"/>
    <x v="2"/>
    <n v="220"/>
    <n v="0.33846153846153848"/>
  </r>
  <r>
    <d v="2024-03-07T00:00:00"/>
    <x v="1"/>
    <s v="Writing"/>
    <n v="1130"/>
    <n v="970"/>
    <n v="6"/>
    <x v="0"/>
    <n v="160"/>
    <n v="0.1415929203539823"/>
  </r>
  <r>
    <d v="2024-03-08T00:00:00"/>
    <x v="2"/>
    <s v="Writing"/>
    <n v="770"/>
    <n v="750"/>
    <n v="7"/>
    <x v="1"/>
    <n v="20"/>
    <n v="2.5974025974025976E-2"/>
  </r>
  <r>
    <d v="2024-03-09T00:00:00"/>
    <x v="3"/>
    <s v="Office Supplies"/>
    <n v="1430"/>
    <n v="1230"/>
    <n v="5"/>
    <x v="2"/>
    <n v="200"/>
    <n v="0.13986013986013987"/>
  </r>
  <r>
    <d v="2024-03-10T00:00:00"/>
    <x v="4"/>
    <s v="Office Supplies"/>
    <n v="970"/>
    <n v="910"/>
    <n v="5"/>
    <x v="0"/>
    <n v="60"/>
    <n v="6.1855670103092786E-2"/>
  </r>
  <r>
    <d v="2024-03-11T00:00:00"/>
    <x v="0"/>
    <s v="Writing"/>
    <n v="570"/>
    <n v="320"/>
    <n v="11"/>
    <x v="1"/>
    <n v="250"/>
    <n v="0.43859649122807015"/>
  </r>
  <r>
    <d v="2024-03-12T00:00:00"/>
    <x v="1"/>
    <s v="Writing"/>
    <n v="1340"/>
    <n v="1030"/>
    <n v="7"/>
    <x v="2"/>
    <n v="310"/>
    <n v="0.23134328358208955"/>
  </r>
  <r>
    <d v="2024-03-13T00:00:00"/>
    <x v="2"/>
    <s v="Writing"/>
    <n v="850"/>
    <n v="810"/>
    <n v="6"/>
    <x v="0"/>
    <n v="40"/>
    <n v="4.7058823529411764E-2"/>
  </r>
  <r>
    <d v="2024-03-14T00:00:00"/>
    <x v="3"/>
    <s v="Office Supplies"/>
    <n v="1630"/>
    <n v="1430"/>
    <n v="7"/>
    <x v="1"/>
    <n v="200"/>
    <n v="0.12269938650306748"/>
  </r>
  <r>
    <d v="2024-03-15T00:00:00"/>
    <x v="4"/>
    <s v="Office Supplies"/>
    <n v="880"/>
    <n v="860"/>
    <n v="4"/>
    <x v="2"/>
    <n v="20"/>
    <n v="2.2727272727272728E-2"/>
  </r>
  <r>
    <d v="2024-03-16T00:00:00"/>
    <x v="0"/>
    <s v="Writing"/>
    <n v="640"/>
    <n v="420"/>
    <n v="10"/>
    <x v="0"/>
    <n v="220"/>
    <n v="0.34375"/>
  </r>
  <r>
    <d v="2024-03-17T00:00:00"/>
    <x v="1"/>
    <s v="Writing"/>
    <n v="1280"/>
    <n v="1010"/>
    <n v="6"/>
    <x v="1"/>
    <n v="270"/>
    <n v="0.2109375"/>
  </r>
  <r>
    <d v="2024-03-18T00:00:00"/>
    <x v="2"/>
    <s v="Writing"/>
    <n v="790"/>
    <n v="760"/>
    <n v="8"/>
    <x v="2"/>
    <n v="30"/>
    <n v="3.7974683544303799E-2"/>
  </r>
  <r>
    <d v="2024-03-19T00:00:00"/>
    <x v="3"/>
    <s v="Office Supplies"/>
    <n v="1580"/>
    <n v="1380"/>
    <n v="6"/>
    <x v="0"/>
    <n v="200"/>
    <n v="0.12658227848101267"/>
  </r>
  <r>
    <d v="2024-03-20T00:00:00"/>
    <x v="4"/>
    <s v="Office Supplies"/>
    <n v="940"/>
    <n v="910"/>
    <n v="5"/>
    <x v="1"/>
    <n v="30"/>
    <n v="3.1914893617021274E-2"/>
  </r>
  <r>
    <d v="2024-03-21T00:00:00"/>
    <x v="0"/>
    <s v="Writing"/>
    <n v="600"/>
    <n v="340"/>
    <n v="9"/>
    <x v="2"/>
    <n v="260"/>
    <n v="0.43333333333333335"/>
  </r>
  <r>
    <d v="2024-03-22T00:00:00"/>
    <x v="1"/>
    <s v="Writing"/>
    <n v="1180"/>
    <n v="960"/>
    <n v="5"/>
    <x v="0"/>
    <n v="220"/>
    <n v="0.1864406779661017"/>
  </r>
  <r>
    <d v="2024-03-23T00:00:00"/>
    <x v="2"/>
    <s v="Writing"/>
    <n v="810"/>
    <n v="780"/>
    <n v="7"/>
    <x v="1"/>
    <n v="30"/>
    <n v="3.7037037037037035E-2"/>
  </r>
  <r>
    <d v="2024-03-24T00:00:00"/>
    <x v="3"/>
    <s v="Office Supplies"/>
    <n v="1480"/>
    <n v="1280"/>
    <n v="6"/>
    <x v="2"/>
    <n v="200"/>
    <n v="0.13513513513513514"/>
  </r>
  <r>
    <d v="2024-03-25T00:00:00"/>
    <x v="4"/>
    <s v="Office Supplies"/>
    <n v="930"/>
    <n v="900"/>
    <n v="4"/>
    <x v="0"/>
    <n v="30"/>
    <n v="3.2258064516129031E-2"/>
  </r>
  <r>
    <m/>
    <x v="5"/>
    <m/>
    <m/>
    <m/>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ECB02C-4EB7-4620-ACC3-11C34934404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4">
    <i>
      <x v="1"/>
    </i>
    <i>
      <x/>
    </i>
    <i>
      <x v="2"/>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EFDAAB-F93E-4FAE-A2BD-1C23D21CF258}"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9">
    <pivotField showAll="0"/>
    <pivotField showAll="0">
      <items count="7">
        <item x="3"/>
        <item h="1" x="2"/>
        <item h="1" x="1"/>
        <item h="1" x="0"/>
        <item h="1" x="4"/>
        <item h="1" x="5"/>
        <item t="default"/>
      </items>
    </pivotField>
    <pivotField showAll="0"/>
    <pivotField showAll="0"/>
    <pivotField showAll="0"/>
    <pivotField showAll="0"/>
    <pivotField axis="axisRow" showAll="0">
      <items count="5">
        <item x="0"/>
        <item x="1"/>
        <item x="2"/>
        <item x="3"/>
        <item t="default"/>
      </items>
    </pivotField>
    <pivotField dataField="1" showAll="0"/>
    <pivotField showAll="0"/>
  </pivotFields>
  <rowFields count="1">
    <field x="6"/>
  </rowFields>
  <rowItems count="4">
    <i>
      <x/>
    </i>
    <i>
      <x v="1"/>
    </i>
    <i>
      <x v="2"/>
    </i>
    <i t="grand">
      <x/>
    </i>
  </rowItems>
  <colItems count="1">
    <i/>
  </colItems>
  <dataFields count="1">
    <dataField name="Sum of Profit" fld="7"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7F020F-6460-4375-8396-5A6D580D6D5B}" autoFormatId="16" applyNumberFormats="0" applyBorderFormats="0" applyFontFormats="0" applyPatternFormats="0" applyAlignmentFormats="0" applyWidthHeightFormats="0">
  <queryTableRefresh nextId="10" unboundColumnsRight="2">
    <queryTableFields count="9">
      <queryTableField id="1" name="Order Date" tableColumnId="1"/>
      <queryTableField id="2" name="Product" tableColumnId="2"/>
      <queryTableField id="3" name="Category" tableColumnId="3"/>
      <queryTableField id="4" name="Sales" tableColumnId="4"/>
      <queryTableField id="5" name="Cost" tableColumnId="5"/>
      <queryTableField id="6" name="Quantity" tableColumnId="6"/>
      <queryTableField id="7" name="Region" tableColumnId="7"/>
      <queryTableField id="8" dataBound="0" tableColumnId="8"/>
      <queryTableField id="9" dataBound="0" tableColumnId="9"/>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Bar graph with upward trend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CA64A2D-016A-4747-B461-4A83CA9313AD}" sourceName="Product">
  <pivotTables>
    <pivotTable tabId="7" name="PivotTable23"/>
  </pivotTables>
  <data>
    <tabular pivotCacheId="1837922553" customListSort="0">
      <items count="6">
        <i x="3" s="1"/>
        <i x="2"/>
        <i x="1"/>
        <i x="0"/>
        <i x="4"/>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1C71CE-2718-4CE7-9796-29ED0EE981A4}" sourceName="Region">
  <pivotTables>
    <pivotTable tabId="7" name="PivotTable23"/>
  </pivotTables>
  <data>
    <tabular pivotCacheId="1837922553">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268B8F-5B55-4597-8E98-8B9E7C9AA31A}" sourceName="Category">
  <pivotTables>
    <pivotTable tabId="3" name="PivotTable19"/>
  </pivotTables>
  <data>
    <tabular pivotCacheId="1843444709" sortOrder="descending">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4B25059-D499-48C1-B9AF-41E1588478C5}" cache="Slicer_Category" caption="Category"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43A2824-670E-4AFF-BB1A-7595C37F7E30}" cache="Slicer_Product" caption="Product" rowHeight="249238"/>
  <slicer name="Region" xr10:uid="{11F09F36-1F22-47C3-BE93-F1BE539C8900}" cache="Slicer_Region" caption="Region"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52F0E31-6682-427A-8620-FED2938F64A0}" cache="Slicer_Product" caption="Product" style="SlicerStyleOther1" rowHeight="249238"/>
  <slicer name="Region 1" xr10:uid="{125686A0-F459-4916-9CBB-E7118EB0F0DA}" cache="Slicer_Region" caption="Region" style="SlicerStyleOther1" rowHeight="249238"/>
  <slicer name="Category 1" xr10:uid="{0DADDD28-ACDF-4DB1-8962-0F745EEDC75C}" cache="Slicer_Category" caption="Category" style="SlicerStyleOther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653C75-8031-49DA-B2F6-AF26203643AC}" name="CREATE_DATABASE_MY_PROJECT02" displayName="CREATE_DATABASE_MY_PROJECT02" ref="A1:I81" tableType="queryTable" totalsRowShown="0">
  <autoFilter ref="A1:I81" xr:uid="{94653C75-8031-49DA-B2F6-AF26203643AC}"/>
  <tableColumns count="9">
    <tableColumn id="1" xr3:uid="{63F035F7-9990-4C2E-BDB7-AA0D11CEA645}" uniqueName="1" name="Order Date" queryTableFieldId="1" dataDxfId="8"/>
    <tableColumn id="2" xr3:uid="{6FFD5191-D030-4ADD-AE95-9B73F5AA93EA}" uniqueName="2" name="Product" queryTableFieldId="2" dataDxfId="7"/>
    <tableColumn id="3" xr3:uid="{B77781AD-C00D-49E8-8410-AA596EC93D5D}" uniqueName="3" name="Category" queryTableFieldId="3" dataDxfId="6"/>
    <tableColumn id="4" xr3:uid="{A02D5E9A-5190-49B7-9C56-465B2ABEBE8F}" uniqueName="4" name="Sales" queryTableFieldId="4" dataDxfId="5"/>
    <tableColumn id="5" xr3:uid="{18BB36CA-847A-47C7-91DC-10D04878C4BA}" uniqueName="5" name="Cost" queryTableFieldId="5" dataDxfId="4"/>
    <tableColumn id="6" xr3:uid="{0CBF9C71-D9E1-4560-836B-506D6D17E770}" uniqueName="6" name="Quantity" queryTableFieldId="6" dataDxfId="3"/>
    <tableColumn id="7" xr3:uid="{5ECAB6F0-D2D4-41F2-891C-187B44539584}" uniqueName="7" name="Region" queryTableFieldId="7" dataDxfId="2"/>
    <tableColumn id="8" xr3:uid="{FF34D5B4-757B-4E94-9C3D-10C5AEE1CCCC}" uniqueName="8" name="Profit" queryTableFieldId="8" dataDxfId="1">
      <calculatedColumnFormula>(CREATE_DATABASE_MY_PROJECT02[[#This Row],[Sales]]-CREATE_DATABASE_MY_PROJECT02[[#This Row],[Cost]])</calculatedColumnFormula>
    </tableColumn>
    <tableColumn id="9" xr3:uid="{07D945AD-768F-4BDD-AE11-B1F38B69E77A}" uniqueName="9" name="Profit Margin" queryTableFieldId="9" dataDxfId="0">
      <calculatedColumnFormula>(CREATE_DATABASE_MY_PROJECT02[[#This Row],[Profit]]/CREATE_DATABASE_MY_PROJECT02[[#This Row],[Sales]])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B64C8-4F31-42FA-8DE0-AE5525AE7F63}">
  <dimension ref="A3:B7"/>
  <sheetViews>
    <sheetView topLeftCell="A2" workbookViewId="0">
      <selection activeCell="P14" sqref="P14"/>
    </sheetView>
  </sheetViews>
  <sheetFormatPr defaultRowHeight="14.25" x14ac:dyDescent="0.45"/>
  <cols>
    <col min="1" max="1" width="12.46484375" bestFit="1" customWidth="1"/>
    <col min="2" max="2" width="11" bestFit="1" customWidth="1"/>
  </cols>
  <sheetData>
    <row r="3" spans="1:2" x14ac:dyDescent="0.45">
      <c r="A3" s="5" t="s">
        <v>24</v>
      </c>
      <c r="B3" t="s">
        <v>23</v>
      </c>
    </row>
    <row r="4" spans="1:2" x14ac:dyDescent="0.45">
      <c r="A4" s="6" t="s">
        <v>8</v>
      </c>
      <c r="B4">
        <v>41750</v>
      </c>
    </row>
    <row r="5" spans="1:2" x14ac:dyDescent="0.45">
      <c r="A5" s="6" t="s">
        <v>15</v>
      </c>
      <c r="B5">
        <v>39020</v>
      </c>
    </row>
    <row r="6" spans="1:2" x14ac:dyDescent="0.45">
      <c r="A6" s="6" t="s">
        <v>25</v>
      </c>
    </row>
    <row r="7" spans="1:2" x14ac:dyDescent="0.45">
      <c r="A7" s="6" t="s">
        <v>26</v>
      </c>
      <c r="B7">
        <v>80770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173A7-08D1-4E60-A360-1C696B9A8709}">
  <dimension ref="A3:B7"/>
  <sheetViews>
    <sheetView workbookViewId="0">
      <selection activeCell="B16" sqref="B16"/>
    </sheetView>
  </sheetViews>
  <sheetFormatPr defaultRowHeight="14.25" x14ac:dyDescent="0.45"/>
  <cols>
    <col min="1" max="1" width="11.9296875" bestFit="1" customWidth="1"/>
    <col min="2" max="2" width="11" bestFit="1" customWidth="1"/>
  </cols>
  <sheetData>
    <row r="3" spans="1:2" x14ac:dyDescent="0.45">
      <c r="A3" s="5" t="s">
        <v>24</v>
      </c>
      <c r="B3" t="s">
        <v>22</v>
      </c>
    </row>
    <row r="4" spans="1:2" x14ac:dyDescent="0.45">
      <c r="A4" s="6" t="s">
        <v>9</v>
      </c>
      <c r="B4">
        <v>1200</v>
      </c>
    </row>
    <row r="5" spans="1:2" x14ac:dyDescent="0.45">
      <c r="A5" s="6" t="s">
        <v>11</v>
      </c>
      <c r="B5">
        <v>800</v>
      </c>
    </row>
    <row r="6" spans="1:2" x14ac:dyDescent="0.45">
      <c r="A6" s="6" t="s">
        <v>13</v>
      </c>
      <c r="B6">
        <v>1200</v>
      </c>
    </row>
    <row r="7" spans="1:2" x14ac:dyDescent="0.45">
      <c r="A7" s="6" t="s">
        <v>26</v>
      </c>
      <c r="B7">
        <v>3200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A900-06F3-488D-986E-26021C583530}">
  <dimension ref="A1:L81"/>
  <sheetViews>
    <sheetView workbookViewId="0">
      <selection activeCell="L7" sqref="L7"/>
    </sheetView>
  </sheetViews>
  <sheetFormatPr defaultRowHeight="14.25" x14ac:dyDescent="0.45"/>
  <cols>
    <col min="1" max="1" width="11.59765625" style="1" bestFit="1" customWidth="1"/>
    <col min="2" max="2" width="9.19921875" bestFit="1" customWidth="1"/>
    <col min="3" max="3" width="12.46484375" bestFit="1" customWidth="1"/>
    <col min="4" max="5" width="9.1328125" style="4" bestFit="1" customWidth="1"/>
    <col min="6" max="6" width="9.6640625" style="2" bestFit="1" customWidth="1"/>
    <col min="7" max="7" width="8.3984375" bestFit="1" customWidth="1"/>
    <col min="8" max="8" width="9.06640625" style="4"/>
    <col min="9" max="9" width="13" style="2" bestFit="1" customWidth="1"/>
    <col min="11" max="11" width="11.59765625" customWidth="1"/>
    <col min="12" max="12" width="10.1328125" bestFit="1" customWidth="1"/>
  </cols>
  <sheetData>
    <row r="1" spans="1:12" x14ac:dyDescent="0.45">
      <c r="A1" s="1" t="s">
        <v>0</v>
      </c>
      <c r="B1" t="s">
        <v>1</v>
      </c>
      <c r="C1" t="s">
        <v>2</v>
      </c>
      <c r="D1" s="4" t="s">
        <v>3</v>
      </c>
      <c r="E1" s="4" t="s">
        <v>4</v>
      </c>
      <c r="F1" s="2" t="s">
        <v>5</v>
      </c>
      <c r="G1" t="s">
        <v>6</v>
      </c>
      <c r="H1" s="4" t="s">
        <v>17</v>
      </c>
      <c r="I1" s="2" t="s">
        <v>18</v>
      </c>
    </row>
    <row r="2" spans="1:12" ht="29.25" x14ac:dyDescent="0.9">
      <c r="A2" s="1">
        <v>45292</v>
      </c>
      <c r="B2" t="s">
        <v>7</v>
      </c>
      <c r="C2" t="s">
        <v>8</v>
      </c>
      <c r="D2" s="4">
        <v>500</v>
      </c>
      <c r="E2" s="4">
        <v>350</v>
      </c>
      <c r="F2" s="2">
        <v>10</v>
      </c>
      <c r="G2" t="s">
        <v>9</v>
      </c>
      <c r="H2" s="4">
        <f>(CREATE_DATABASE_MY_PROJECT02[[#This Row],[Sales]]-CREATE_DATABASE_MY_PROJECT02[[#This Row],[Cost]])</f>
        <v>150</v>
      </c>
      <c r="I2" s="2">
        <f>(CREATE_DATABASE_MY_PROJECT02[[#This Row],[Profit]]/CREATE_DATABASE_MY_PROJECT02[[#This Row],[Sales]])</f>
        <v>0.3</v>
      </c>
      <c r="K2" s="3" t="s">
        <v>19</v>
      </c>
    </row>
    <row r="3" spans="1:12" x14ac:dyDescent="0.45">
      <c r="A3" s="1">
        <v>45293</v>
      </c>
      <c r="B3" t="s">
        <v>10</v>
      </c>
      <c r="C3" t="s">
        <v>8</v>
      </c>
      <c r="D3" s="4">
        <v>1200</v>
      </c>
      <c r="E3" s="4">
        <v>900</v>
      </c>
      <c r="F3" s="2">
        <v>5</v>
      </c>
      <c r="G3" t="s">
        <v>11</v>
      </c>
      <c r="H3" s="4">
        <f>(CREATE_DATABASE_MY_PROJECT02[[#This Row],[Sales]]-CREATE_DATABASE_MY_PROJECT02[[#This Row],[Cost]])</f>
        <v>300</v>
      </c>
      <c r="I3" s="2">
        <f>(CREATE_DATABASE_MY_PROJECT02[[#This Row],[Profit]]/CREATE_DATABASE_MY_PROJECT02[[#This Row],[Sales]])</f>
        <v>0.25</v>
      </c>
    </row>
    <row r="4" spans="1:12" x14ac:dyDescent="0.45">
      <c r="A4" s="1">
        <v>45294</v>
      </c>
      <c r="B4" t="s">
        <v>12</v>
      </c>
      <c r="C4" t="s">
        <v>8</v>
      </c>
      <c r="D4" s="4">
        <v>900</v>
      </c>
      <c r="E4" s="4">
        <v>700</v>
      </c>
      <c r="F4" s="2">
        <v>8</v>
      </c>
      <c r="G4" t="s">
        <v>13</v>
      </c>
      <c r="H4" s="4">
        <f>(CREATE_DATABASE_MY_PROJECT02[[#This Row],[Sales]]-CREATE_DATABASE_MY_PROJECT02[[#This Row],[Cost]])</f>
        <v>200</v>
      </c>
      <c r="I4" s="2">
        <f>(CREATE_DATABASE_MY_PROJECT02[[#This Row],[Profit]]/CREATE_DATABASE_MY_PROJECT02[[#This Row],[Sales]])</f>
        <v>0.22222222222222221</v>
      </c>
    </row>
    <row r="5" spans="1:12" x14ac:dyDescent="0.45">
      <c r="A5" s="1">
        <v>45295</v>
      </c>
      <c r="B5" t="s">
        <v>14</v>
      </c>
      <c r="C5" t="s">
        <v>15</v>
      </c>
      <c r="D5" s="4">
        <v>1500</v>
      </c>
      <c r="E5" s="4">
        <v>1300</v>
      </c>
      <c r="F5" s="2">
        <v>6</v>
      </c>
      <c r="G5" t="s">
        <v>9</v>
      </c>
      <c r="H5" s="4">
        <f>(CREATE_DATABASE_MY_PROJECT02[[#This Row],[Sales]]-CREATE_DATABASE_MY_PROJECT02[[#This Row],[Cost]])</f>
        <v>200</v>
      </c>
      <c r="I5" s="2">
        <f>(CREATE_DATABASE_MY_PROJECT02[[#This Row],[Profit]]/CREATE_DATABASE_MY_PROJECT02[[#This Row],[Sales]])</f>
        <v>0.13333333333333333</v>
      </c>
      <c r="K5" t="s">
        <v>20</v>
      </c>
      <c r="L5" s="4">
        <f>SUM(D2:D81)</f>
        <v>80770</v>
      </c>
    </row>
    <row r="6" spans="1:12" x14ac:dyDescent="0.45">
      <c r="A6" s="1">
        <v>45296</v>
      </c>
      <c r="B6" t="s">
        <v>16</v>
      </c>
      <c r="C6" t="s">
        <v>15</v>
      </c>
      <c r="D6" s="4">
        <v>900</v>
      </c>
      <c r="E6" s="4">
        <v>850</v>
      </c>
      <c r="F6" s="2">
        <v>4</v>
      </c>
      <c r="G6" t="s">
        <v>11</v>
      </c>
      <c r="H6" s="4">
        <f>(CREATE_DATABASE_MY_PROJECT02[[#This Row],[Sales]]-CREATE_DATABASE_MY_PROJECT02[[#This Row],[Cost]])</f>
        <v>50</v>
      </c>
      <c r="I6" s="2">
        <f>(CREATE_DATABASE_MY_PROJECT02[[#This Row],[Profit]]/CREATE_DATABASE_MY_PROJECT02[[#This Row],[Sales]])</f>
        <v>5.5555555555555552E-2</v>
      </c>
      <c r="K6" t="s">
        <v>21</v>
      </c>
      <c r="L6" s="4">
        <f>SUM(H2:H82)</f>
        <v>11920</v>
      </c>
    </row>
    <row r="7" spans="1:12" x14ac:dyDescent="0.45">
      <c r="A7" s="1">
        <v>45297</v>
      </c>
      <c r="B7" t="s">
        <v>7</v>
      </c>
      <c r="C7" t="s">
        <v>8</v>
      </c>
      <c r="D7" s="4">
        <v>600</v>
      </c>
      <c r="E7" s="4">
        <v>400</v>
      </c>
      <c r="F7" s="2">
        <v>12</v>
      </c>
      <c r="G7" t="s">
        <v>13</v>
      </c>
      <c r="H7" s="4">
        <f>(CREATE_DATABASE_MY_PROJECT02[[#This Row],[Sales]]-CREATE_DATABASE_MY_PROJECT02[[#This Row],[Cost]])</f>
        <v>200</v>
      </c>
      <c r="I7" s="2">
        <f>(CREATE_DATABASE_MY_PROJECT02[[#This Row],[Profit]]/CREATE_DATABASE_MY_PROJECT02[[#This Row],[Sales]])</f>
        <v>0.33333333333333331</v>
      </c>
      <c r="K7" t="s">
        <v>18</v>
      </c>
      <c r="L7" s="7">
        <f>(L6/L5)</f>
        <v>0.14757954686145847</v>
      </c>
    </row>
    <row r="8" spans="1:12" x14ac:dyDescent="0.45">
      <c r="A8" s="1">
        <v>45298</v>
      </c>
      <c r="B8" t="s">
        <v>10</v>
      </c>
      <c r="C8" t="s">
        <v>8</v>
      </c>
      <c r="D8" s="4">
        <v>1100</v>
      </c>
      <c r="E8" s="4">
        <v>950</v>
      </c>
      <c r="F8" s="2">
        <v>6</v>
      </c>
      <c r="G8" t="s">
        <v>9</v>
      </c>
      <c r="H8" s="4">
        <f>(CREATE_DATABASE_MY_PROJECT02[[#This Row],[Sales]]-CREATE_DATABASE_MY_PROJECT02[[#This Row],[Cost]])</f>
        <v>150</v>
      </c>
      <c r="I8" s="2">
        <f>(CREATE_DATABASE_MY_PROJECT02[[#This Row],[Profit]]/CREATE_DATABASE_MY_PROJECT02[[#This Row],[Sales]])</f>
        <v>0.13636363636363635</v>
      </c>
    </row>
    <row r="9" spans="1:12" x14ac:dyDescent="0.45">
      <c r="A9" s="1">
        <v>45299</v>
      </c>
      <c r="B9" t="s">
        <v>12</v>
      </c>
      <c r="C9" t="s">
        <v>8</v>
      </c>
      <c r="D9" s="4">
        <v>750</v>
      </c>
      <c r="E9" s="4">
        <v>720</v>
      </c>
      <c r="F9" s="2">
        <v>7</v>
      </c>
      <c r="G9" t="s">
        <v>11</v>
      </c>
      <c r="H9" s="4">
        <f>(CREATE_DATABASE_MY_PROJECT02[[#This Row],[Sales]]-CREATE_DATABASE_MY_PROJECT02[[#This Row],[Cost]])</f>
        <v>30</v>
      </c>
      <c r="I9" s="2">
        <f>(CREATE_DATABASE_MY_PROJECT02[[#This Row],[Profit]]/CREATE_DATABASE_MY_PROJECT02[[#This Row],[Sales]])</f>
        <v>0.04</v>
      </c>
    </row>
    <row r="10" spans="1:12" x14ac:dyDescent="0.45">
      <c r="A10" s="1">
        <v>45300</v>
      </c>
      <c r="B10" t="s">
        <v>14</v>
      </c>
      <c r="C10" t="s">
        <v>15</v>
      </c>
      <c r="D10" s="4">
        <v>1400</v>
      </c>
      <c r="E10" s="4">
        <v>1200</v>
      </c>
      <c r="F10" s="2">
        <v>5</v>
      </c>
      <c r="G10" t="s">
        <v>13</v>
      </c>
      <c r="H10" s="4">
        <f>(CREATE_DATABASE_MY_PROJECT02[[#This Row],[Sales]]-CREATE_DATABASE_MY_PROJECT02[[#This Row],[Cost]])</f>
        <v>200</v>
      </c>
      <c r="I10" s="2">
        <f>(CREATE_DATABASE_MY_PROJECT02[[#This Row],[Profit]]/CREATE_DATABASE_MY_PROJECT02[[#This Row],[Sales]])</f>
        <v>0.14285714285714285</v>
      </c>
    </row>
    <row r="11" spans="1:12" x14ac:dyDescent="0.45">
      <c r="A11" s="1">
        <v>45301</v>
      </c>
      <c r="B11" t="s">
        <v>16</v>
      </c>
      <c r="C11" t="s">
        <v>15</v>
      </c>
      <c r="D11" s="4">
        <v>950</v>
      </c>
      <c r="E11" s="4">
        <v>870</v>
      </c>
      <c r="F11" s="2">
        <v>5</v>
      </c>
      <c r="G11" t="s">
        <v>9</v>
      </c>
      <c r="H11" s="4">
        <f>(CREATE_DATABASE_MY_PROJECT02[[#This Row],[Sales]]-CREATE_DATABASE_MY_PROJECT02[[#This Row],[Cost]])</f>
        <v>80</v>
      </c>
      <c r="I11" s="2">
        <f>(CREATE_DATABASE_MY_PROJECT02[[#This Row],[Profit]]/CREATE_DATABASE_MY_PROJECT02[[#This Row],[Sales]])</f>
        <v>8.4210526315789472E-2</v>
      </c>
    </row>
    <row r="12" spans="1:12" x14ac:dyDescent="0.45">
      <c r="A12" s="1">
        <v>45302</v>
      </c>
      <c r="B12" t="s">
        <v>7</v>
      </c>
      <c r="C12" t="s">
        <v>8</v>
      </c>
      <c r="D12" s="4">
        <v>550</v>
      </c>
      <c r="E12" s="4">
        <v>300</v>
      </c>
      <c r="F12" s="2">
        <v>11</v>
      </c>
      <c r="G12" t="s">
        <v>11</v>
      </c>
      <c r="H12" s="4">
        <f>(CREATE_DATABASE_MY_PROJECT02[[#This Row],[Sales]]-CREATE_DATABASE_MY_PROJECT02[[#This Row],[Cost]])</f>
        <v>250</v>
      </c>
      <c r="I12" s="2">
        <f>(CREATE_DATABASE_MY_PROJECT02[[#This Row],[Profit]]/CREATE_DATABASE_MY_PROJECT02[[#This Row],[Sales]])</f>
        <v>0.45454545454545453</v>
      </c>
    </row>
    <row r="13" spans="1:12" x14ac:dyDescent="0.45">
      <c r="A13" s="1">
        <v>45303</v>
      </c>
      <c r="B13" t="s">
        <v>10</v>
      </c>
      <c r="C13" t="s">
        <v>8</v>
      </c>
      <c r="D13" s="4">
        <v>1300</v>
      </c>
      <c r="E13" s="4">
        <v>1000</v>
      </c>
      <c r="F13" s="2">
        <v>7</v>
      </c>
      <c r="G13" t="s">
        <v>13</v>
      </c>
      <c r="H13" s="4">
        <f>(CREATE_DATABASE_MY_PROJECT02[[#This Row],[Sales]]-CREATE_DATABASE_MY_PROJECT02[[#This Row],[Cost]])</f>
        <v>300</v>
      </c>
      <c r="I13" s="2">
        <f>(CREATE_DATABASE_MY_PROJECT02[[#This Row],[Profit]]/CREATE_DATABASE_MY_PROJECT02[[#This Row],[Sales]])</f>
        <v>0.23076923076923078</v>
      </c>
    </row>
    <row r="14" spans="1:12" x14ac:dyDescent="0.45">
      <c r="A14" s="1">
        <v>45304</v>
      </c>
      <c r="B14" t="s">
        <v>12</v>
      </c>
      <c r="C14" t="s">
        <v>8</v>
      </c>
      <c r="D14" s="4">
        <v>820</v>
      </c>
      <c r="E14" s="4">
        <v>780</v>
      </c>
      <c r="F14" s="2">
        <v>6</v>
      </c>
      <c r="G14" t="s">
        <v>9</v>
      </c>
      <c r="H14" s="4">
        <f>(CREATE_DATABASE_MY_PROJECT02[[#This Row],[Sales]]-CREATE_DATABASE_MY_PROJECT02[[#This Row],[Cost]])</f>
        <v>40</v>
      </c>
      <c r="I14" s="2">
        <f>(CREATE_DATABASE_MY_PROJECT02[[#This Row],[Profit]]/CREATE_DATABASE_MY_PROJECT02[[#This Row],[Sales]])</f>
        <v>4.878048780487805E-2</v>
      </c>
    </row>
    <row r="15" spans="1:12" x14ac:dyDescent="0.45">
      <c r="A15" s="1">
        <v>45305</v>
      </c>
      <c r="B15" t="s">
        <v>14</v>
      </c>
      <c r="C15" t="s">
        <v>15</v>
      </c>
      <c r="D15" s="4">
        <v>1600</v>
      </c>
      <c r="E15" s="4">
        <v>1400</v>
      </c>
      <c r="F15" s="2">
        <v>7</v>
      </c>
      <c r="G15" t="s">
        <v>11</v>
      </c>
      <c r="H15" s="4">
        <f>(CREATE_DATABASE_MY_PROJECT02[[#This Row],[Sales]]-CREATE_DATABASE_MY_PROJECT02[[#This Row],[Cost]])</f>
        <v>200</v>
      </c>
      <c r="I15" s="2">
        <f>(CREATE_DATABASE_MY_PROJECT02[[#This Row],[Profit]]/CREATE_DATABASE_MY_PROJECT02[[#This Row],[Sales]])</f>
        <v>0.125</v>
      </c>
    </row>
    <row r="16" spans="1:12" x14ac:dyDescent="0.45">
      <c r="A16" s="1">
        <v>45306</v>
      </c>
      <c r="B16" t="s">
        <v>16</v>
      </c>
      <c r="C16" t="s">
        <v>15</v>
      </c>
      <c r="D16" s="4">
        <v>880</v>
      </c>
      <c r="E16" s="4">
        <v>860</v>
      </c>
      <c r="F16" s="2">
        <v>4</v>
      </c>
      <c r="G16" t="s">
        <v>13</v>
      </c>
      <c r="H16" s="4">
        <f>(CREATE_DATABASE_MY_PROJECT02[[#This Row],[Sales]]-CREATE_DATABASE_MY_PROJECT02[[#This Row],[Cost]])</f>
        <v>20</v>
      </c>
      <c r="I16" s="2">
        <f>(CREATE_DATABASE_MY_PROJECT02[[#This Row],[Profit]]/CREATE_DATABASE_MY_PROJECT02[[#This Row],[Sales]])</f>
        <v>2.2727272727272728E-2</v>
      </c>
    </row>
    <row r="17" spans="1:9" x14ac:dyDescent="0.45">
      <c r="A17" s="1">
        <v>45307</v>
      </c>
      <c r="B17" t="s">
        <v>7</v>
      </c>
      <c r="C17" t="s">
        <v>8</v>
      </c>
      <c r="D17" s="4">
        <v>620</v>
      </c>
      <c r="E17" s="4">
        <v>410</v>
      </c>
      <c r="F17" s="2">
        <v>10</v>
      </c>
      <c r="G17" t="s">
        <v>9</v>
      </c>
      <c r="H17" s="4">
        <f>(CREATE_DATABASE_MY_PROJECT02[[#This Row],[Sales]]-CREATE_DATABASE_MY_PROJECT02[[#This Row],[Cost]])</f>
        <v>210</v>
      </c>
      <c r="I17" s="2">
        <f>(CREATE_DATABASE_MY_PROJECT02[[#This Row],[Profit]]/CREATE_DATABASE_MY_PROJECT02[[#This Row],[Sales]])</f>
        <v>0.33870967741935482</v>
      </c>
    </row>
    <row r="18" spans="1:9" x14ac:dyDescent="0.45">
      <c r="A18" s="1">
        <v>45308</v>
      </c>
      <c r="B18" t="s">
        <v>10</v>
      </c>
      <c r="C18" t="s">
        <v>8</v>
      </c>
      <c r="D18" s="4">
        <v>1250</v>
      </c>
      <c r="E18" s="4">
        <v>980</v>
      </c>
      <c r="F18" s="2">
        <v>6</v>
      </c>
      <c r="G18" t="s">
        <v>11</v>
      </c>
      <c r="H18" s="4">
        <f>(CREATE_DATABASE_MY_PROJECT02[[#This Row],[Sales]]-CREATE_DATABASE_MY_PROJECT02[[#This Row],[Cost]])</f>
        <v>270</v>
      </c>
      <c r="I18" s="2">
        <f>(CREATE_DATABASE_MY_PROJECT02[[#This Row],[Profit]]/CREATE_DATABASE_MY_PROJECT02[[#This Row],[Sales]])</f>
        <v>0.216</v>
      </c>
    </row>
    <row r="19" spans="1:9" x14ac:dyDescent="0.45">
      <c r="A19" s="1">
        <v>45309</v>
      </c>
      <c r="B19" t="s">
        <v>12</v>
      </c>
      <c r="C19" t="s">
        <v>8</v>
      </c>
      <c r="D19" s="4">
        <v>770</v>
      </c>
      <c r="E19" s="4">
        <v>740</v>
      </c>
      <c r="F19" s="2">
        <v>8</v>
      </c>
      <c r="G19" t="s">
        <v>13</v>
      </c>
      <c r="H19" s="4">
        <f>(CREATE_DATABASE_MY_PROJECT02[[#This Row],[Sales]]-CREATE_DATABASE_MY_PROJECT02[[#This Row],[Cost]])</f>
        <v>30</v>
      </c>
      <c r="I19" s="2">
        <f>(CREATE_DATABASE_MY_PROJECT02[[#This Row],[Profit]]/CREATE_DATABASE_MY_PROJECT02[[#This Row],[Sales]])</f>
        <v>3.896103896103896E-2</v>
      </c>
    </row>
    <row r="20" spans="1:9" x14ac:dyDescent="0.45">
      <c r="A20" s="1">
        <v>45310</v>
      </c>
      <c r="B20" t="s">
        <v>14</v>
      </c>
      <c r="C20" t="s">
        <v>15</v>
      </c>
      <c r="D20" s="4">
        <v>1550</v>
      </c>
      <c r="E20" s="4">
        <v>1350</v>
      </c>
      <c r="F20" s="2">
        <v>6</v>
      </c>
      <c r="G20" t="s">
        <v>9</v>
      </c>
      <c r="H20" s="4">
        <f>(CREATE_DATABASE_MY_PROJECT02[[#This Row],[Sales]]-CREATE_DATABASE_MY_PROJECT02[[#This Row],[Cost]])</f>
        <v>200</v>
      </c>
      <c r="I20" s="2">
        <f>(CREATE_DATABASE_MY_PROJECT02[[#This Row],[Profit]]/CREATE_DATABASE_MY_PROJECT02[[#This Row],[Sales]])</f>
        <v>0.12903225806451613</v>
      </c>
    </row>
    <row r="21" spans="1:9" x14ac:dyDescent="0.45">
      <c r="A21" s="1">
        <v>45311</v>
      </c>
      <c r="B21" t="s">
        <v>16</v>
      </c>
      <c r="C21" t="s">
        <v>15</v>
      </c>
      <c r="D21" s="4">
        <v>920</v>
      </c>
      <c r="E21" s="4">
        <v>890</v>
      </c>
      <c r="F21" s="2">
        <v>5</v>
      </c>
      <c r="G21" t="s">
        <v>11</v>
      </c>
      <c r="H21" s="4">
        <f>(CREATE_DATABASE_MY_PROJECT02[[#This Row],[Sales]]-CREATE_DATABASE_MY_PROJECT02[[#This Row],[Cost]])</f>
        <v>30</v>
      </c>
      <c r="I21" s="2">
        <f>(CREATE_DATABASE_MY_PROJECT02[[#This Row],[Profit]]/CREATE_DATABASE_MY_PROJECT02[[#This Row],[Sales]])</f>
        <v>3.2608695652173912E-2</v>
      </c>
    </row>
    <row r="22" spans="1:9" x14ac:dyDescent="0.45">
      <c r="A22" s="1">
        <v>45312</v>
      </c>
      <c r="B22" t="s">
        <v>7</v>
      </c>
      <c r="C22" t="s">
        <v>8</v>
      </c>
      <c r="D22" s="4">
        <v>580</v>
      </c>
      <c r="E22" s="4">
        <v>320</v>
      </c>
      <c r="F22" s="2">
        <v>9</v>
      </c>
      <c r="G22" t="s">
        <v>13</v>
      </c>
      <c r="H22" s="4">
        <f>(CREATE_DATABASE_MY_PROJECT02[[#This Row],[Sales]]-CREATE_DATABASE_MY_PROJECT02[[#This Row],[Cost]])</f>
        <v>260</v>
      </c>
      <c r="I22" s="2">
        <f>(CREATE_DATABASE_MY_PROJECT02[[#This Row],[Profit]]/CREATE_DATABASE_MY_PROJECT02[[#This Row],[Sales]])</f>
        <v>0.44827586206896552</v>
      </c>
    </row>
    <row r="23" spans="1:9" x14ac:dyDescent="0.45">
      <c r="A23" s="1">
        <v>45313</v>
      </c>
      <c r="B23" t="s">
        <v>10</v>
      </c>
      <c r="C23" t="s">
        <v>8</v>
      </c>
      <c r="D23" s="4">
        <v>1150</v>
      </c>
      <c r="E23" s="4">
        <v>920</v>
      </c>
      <c r="F23" s="2">
        <v>5</v>
      </c>
      <c r="G23" t="s">
        <v>9</v>
      </c>
      <c r="H23" s="4">
        <f>(CREATE_DATABASE_MY_PROJECT02[[#This Row],[Sales]]-CREATE_DATABASE_MY_PROJECT02[[#This Row],[Cost]])</f>
        <v>230</v>
      </c>
      <c r="I23" s="2">
        <f>(CREATE_DATABASE_MY_PROJECT02[[#This Row],[Profit]]/CREATE_DATABASE_MY_PROJECT02[[#This Row],[Sales]])</f>
        <v>0.2</v>
      </c>
    </row>
    <row r="24" spans="1:9" x14ac:dyDescent="0.45">
      <c r="A24" s="1">
        <v>45314</v>
      </c>
      <c r="B24" t="s">
        <v>12</v>
      </c>
      <c r="C24" t="s">
        <v>8</v>
      </c>
      <c r="D24" s="4">
        <v>790</v>
      </c>
      <c r="E24" s="4">
        <v>760</v>
      </c>
      <c r="F24" s="2">
        <v>7</v>
      </c>
      <c r="G24" t="s">
        <v>11</v>
      </c>
      <c r="H24" s="4">
        <f>(CREATE_DATABASE_MY_PROJECT02[[#This Row],[Sales]]-CREATE_DATABASE_MY_PROJECT02[[#This Row],[Cost]])</f>
        <v>30</v>
      </c>
      <c r="I24" s="2">
        <f>(CREATE_DATABASE_MY_PROJECT02[[#This Row],[Profit]]/CREATE_DATABASE_MY_PROJECT02[[#This Row],[Sales]])</f>
        <v>3.7974683544303799E-2</v>
      </c>
    </row>
    <row r="25" spans="1:9" x14ac:dyDescent="0.45">
      <c r="A25" s="1">
        <v>45315</v>
      </c>
      <c r="B25" t="s">
        <v>14</v>
      </c>
      <c r="C25" t="s">
        <v>15</v>
      </c>
      <c r="D25" s="4">
        <v>1450</v>
      </c>
      <c r="E25" s="4">
        <v>1250</v>
      </c>
      <c r="F25" s="2">
        <v>6</v>
      </c>
      <c r="G25" t="s">
        <v>13</v>
      </c>
      <c r="H25" s="4">
        <f>(CREATE_DATABASE_MY_PROJECT02[[#This Row],[Sales]]-CREATE_DATABASE_MY_PROJECT02[[#This Row],[Cost]])</f>
        <v>200</v>
      </c>
      <c r="I25" s="2">
        <f>(CREATE_DATABASE_MY_PROJECT02[[#This Row],[Profit]]/CREATE_DATABASE_MY_PROJECT02[[#This Row],[Sales]])</f>
        <v>0.13793103448275862</v>
      </c>
    </row>
    <row r="26" spans="1:9" x14ac:dyDescent="0.45">
      <c r="A26" s="1">
        <v>45316</v>
      </c>
      <c r="B26" t="s">
        <v>16</v>
      </c>
      <c r="C26" t="s">
        <v>15</v>
      </c>
      <c r="D26" s="4">
        <v>910</v>
      </c>
      <c r="E26" s="4">
        <v>880</v>
      </c>
      <c r="F26" s="2">
        <v>4</v>
      </c>
      <c r="G26" t="s">
        <v>9</v>
      </c>
      <c r="H26" s="4">
        <f>(CREATE_DATABASE_MY_PROJECT02[[#This Row],[Sales]]-CREATE_DATABASE_MY_PROJECT02[[#This Row],[Cost]])</f>
        <v>30</v>
      </c>
      <c r="I26" s="2">
        <f>(CREATE_DATABASE_MY_PROJECT02[[#This Row],[Profit]]/CREATE_DATABASE_MY_PROJECT02[[#This Row],[Sales]])</f>
        <v>3.2967032967032968E-2</v>
      </c>
    </row>
    <row r="27" spans="1:9" x14ac:dyDescent="0.45">
      <c r="A27" s="1">
        <v>45317</v>
      </c>
      <c r="B27" t="s">
        <v>7</v>
      </c>
      <c r="C27" t="s">
        <v>8</v>
      </c>
      <c r="D27" s="4">
        <v>610</v>
      </c>
      <c r="E27" s="4">
        <v>390</v>
      </c>
      <c r="F27" s="2">
        <v>10</v>
      </c>
      <c r="G27" t="s">
        <v>11</v>
      </c>
      <c r="H27" s="4">
        <f>(CREATE_DATABASE_MY_PROJECT02[[#This Row],[Sales]]-CREATE_DATABASE_MY_PROJECT02[[#This Row],[Cost]])</f>
        <v>220</v>
      </c>
      <c r="I27" s="2">
        <f>(CREATE_DATABASE_MY_PROJECT02[[#This Row],[Profit]]/CREATE_DATABASE_MY_PROJECT02[[#This Row],[Sales]])</f>
        <v>0.36065573770491804</v>
      </c>
    </row>
    <row r="28" spans="1:9" x14ac:dyDescent="0.45">
      <c r="A28" s="1">
        <v>45318</v>
      </c>
      <c r="B28" t="s">
        <v>10</v>
      </c>
      <c r="C28" t="s">
        <v>8</v>
      </c>
      <c r="D28" s="4">
        <v>1280</v>
      </c>
      <c r="E28" s="4">
        <v>1020</v>
      </c>
      <c r="F28" s="2">
        <v>6</v>
      </c>
      <c r="G28" t="s">
        <v>13</v>
      </c>
      <c r="H28" s="4">
        <f>(CREATE_DATABASE_MY_PROJECT02[[#This Row],[Sales]]-CREATE_DATABASE_MY_PROJECT02[[#This Row],[Cost]])</f>
        <v>260</v>
      </c>
      <c r="I28" s="2">
        <f>(CREATE_DATABASE_MY_PROJECT02[[#This Row],[Profit]]/CREATE_DATABASE_MY_PROJECT02[[#This Row],[Sales]])</f>
        <v>0.203125</v>
      </c>
    </row>
    <row r="29" spans="1:9" x14ac:dyDescent="0.45">
      <c r="A29" s="1">
        <v>45319</v>
      </c>
      <c r="B29" t="s">
        <v>12</v>
      </c>
      <c r="C29" t="s">
        <v>8</v>
      </c>
      <c r="D29" s="4">
        <v>810</v>
      </c>
      <c r="E29" s="4">
        <v>770</v>
      </c>
      <c r="F29" s="2">
        <v>7</v>
      </c>
      <c r="G29" t="s">
        <v>9</v>
      </c>
      <c r="H29" s="4">
        <f>(CREATE_DATABASE_MY_PROJECT02[[#This Row],[Sales]]-CREATE_DATABASE_MY_PROJECT02[[#This Row],[Cost]])</f>
        <v>40</v>
      </c>
      <c r="I29" s="2">
        <f>(CREATE_DATABASE_MY_PROJECT02[[#This Row],[Profit]]/CREATE_DATABASE_MY_PROJECT02[[#This Row],[Sales]])</f>
        <v>4.9382716049382713E-2</v>
      </c>
    </row>
    <row r="30" spans="1:9" x14ac:dyDescent="0.45">
      <c r="A30" s="1">
        <v>45320</v>
      </c>
      <c r="B30" t="s">
        <v>14</v>
      </c>
      <c r="C30" t="s">
        <v>15</v>
      </c>
      <c r="D30" s="4">
        <v>1580</v>
      </c>
      <c r="E30" s="4">
        <v>1380</v>
      </c>
      <c r="F30" s="2">
        <v>7</v>
      </c>
      <c r="G30" t="s">
        <v>11</v>
      </c>
      <c r="H30" s="4">
        <f>(CREATE_DATABASE_MY_PROJECT02[[#This Row],[Sales]]-CREATE_DATABASE_MY_PROJECT02[[#This Row],[Cost]])</f>
        <v>200</v>
      </c>
      <c r="I30" s="2">
        <f>(CREATE_DATABASE_MY_PROJECT02[[#This Row],[Profit]]/CREATE_DATABASE_MY_PROJECT02[[#This Row],[Sales]])</f>
        <v>0.12658227848101267</v>
      </c>
    </row>
    <row r="31" spans="1:9" x14ac:dyDescent="0.45">
      <c r="A31" s="1">
        <v>45321</v>
      </c>
      <c r="B31" t="s">
        <v>16</v>
      </c>
      <c r="C31" t="s">
        <v>15</v>
      </c>
      <c r="D31" s="4">
        <v>940</v>
      </c>
      <c r="E31" s="4">
        <v>900</v>
      </c>
      <c r="F31" s="2">
        <v>5</v>
      </c>
      <c r="G31" t="s">
        <v>13</v>
      </c>
      <c r="H31" s="4">
        <f>(CREATE_DATABASE_MY_PROJECT02[[#This Row],[Sales]]-CREATE_DATABASE_MY_PROJECT02[[#This Row],[Cost]])</f>
        <v>40</v>
      </c>
      <c r="I31" s="2">
        <f>(CREATE_DATABASE_MY_PROJECT02[[#This Row],[Profit]]/CREATE_DATABASE_MY_PROJECT02[[#This Row],[Sales]])</f>
        <v>4.2553191489361701E-2</v>
      </c>
    </row>
    <row r="32" spans="1:9" x14ac:dyDescent="0.45">
      <c r="A32" s="1">
        <v>45323</v>
      </c>
      <c r="B32" t="s">
        <v>7</v>
      </c>
      <c r="C32" t="s">
        <v>8</v>
      </c>
      <c r="D32" s="4">
        <v>530</v>
      </c>
      <c r="E32" s="4">
        <v>360</v>
      </c>
      <c r="F32" s="2">
        <v>10</v>
      </c>
      <c r="G32" t="s">
        <v>9</v>
      </c>
      <c r="H32" s="4">
        <f>(CREATE_DATABASE_MY_PROJECT02[[#This Row],[Sales]]-CREATE_DATABASE_MY_PROJECT02[[#This Row],[Cost]])</f>
        <v>170</v>
      </c>
      <c r="I32" s="2">
        <f>(CREATE_DATABASE_MY_PROJECT02[[#This Row],[Profit]]/CREATE_DATABASE_MY_PROJECT02[[#This Row],[Sales]])</f>
        <v>0.32075471698113206</v>
      </c>
    </row>
    <row r="33" spans="1:9" x14ac:dyDescent="0.45">
      <c r="A33" s="1">
        <v>45324</v>
      </c>
      <c r="B33" t="s">
        <v>10</v>
      </c>
      <c r="C33" t="s">
        <v>8</v>
      </c>
      <c r="D33" s="4">
        <v>1180</v>
      </c>
      <c r="E33" s="4">
        <v>940</v>
      </c>
      <c r="F33" s="2">
        <v>5</v>
      </c>
      <c r="G33" t="s">
        <v>11</v>
      </c>
      <c r="H33" s="4">
        <f>(CREATE_DATABASE_MY_PROJECT02[[#This Row],[Sales]]-CREATE_DATABASE_MY_PROJECT02[[#This Row],[Cost]])</f>
        <v>240</v>
      </c>
      <c r="I33" s="2">
        <f>(CREATE_DATABASE_MY_PROJECT02[[#This Row],[Profit]]/CREATE_DATABASE_MY_PROJECT02[[#This Row],[Sales]])</f>
        <v>0.20338983050847459</v>
      </c>
    </row>
    <row r="34" spans="1:9" x14ac:dyDescent="0.45">
      <c r="A34" s="1">
        <v>45325</v>
      </c>
      <c r="B34" t="s">
        <v>12</v>
      </c>
      <c r="C34" t="s">
        <v>8</v>
      </c>
      <c r="D34" s="4">
        <v>830</v>
      </c>
      <c r="E34" s="4">
        <v>780</v>
      </c>
      <c r="F34" s="2">
        <v>8</v>
      </c>
      <c r="G34" t="s">
        <v>13</v>
      </c>
      <c r="H34" s="4">
        <f>(CREATE_DATABASE_MY_PROJECT02[[#This Row],[Sales]]-CREATE_DATABASE_MY_PROJECT02[[#This Row],[Cost]])</f>
        <v>50</v>
      </c>
      <c r="I34" s="2">
        <f>(CREATE_DATABASE_MY_PROJECT02[[#This Row],[Profit]]/CREATE_DATABASE_MY_PROJECT02[[#This Row],[Sales]])</f>
        <v>6.0240963855421686E-2</v>
      </c>
    </row>
    <row r="35" spans="1:9" x14ac:dyDescent="0.45">
      <c r="A35" s="1">
        <v>45326</v>
      </c>
      <c r="B35" t="s">
        <v>14</v>
      </c>
      <c r="C35" t="s">
        <v>15</v>
      </c>
      <c r="D35" s="4">
        <v>1520</v>
      </c>
      <c r="E35" s="4">
        <v>1320</v>
      </c>
      <c r="F35" s="2">
        <v>6</v>
      </c>
      <c r="G35" t="s">
        <v>9</v>
      </c>
      <c r="H35" s="4">
        <f>(CREATE_DATABASE_MY_PROJECT02[[#This Row],[Sales]]-CREATE_DATABASE_MY_PROJECT02[[#This Row],[Cost]])</f>
        <v>200</v>
      </c>
      <c r="I35" s="2">
        <f>(CREATE_DATABASE_MY_PROJECT02[[#This Row],[Profit]]/CREATE_DATABASE_MY_PROJECT02[[#This Row],[Sales]])</f>
        <v>0.13157894736842105</v>
      </c>
    </row>
    <row r="36" spans="1:9" x14ac:dyDescent="0.45">
      <c r="A36" s="1">
        <v>45327</v>
      </c>
      <c r="B36" t="s">
        <v>16</v>
      </c>
      <c r="C36" t="s">
        <v>15</v>
      </c>
      <c r="D36" s="4">
        <v>890</v>
      </c>
      <c r="E36" s="4">
        <v>860</v>
      </c>
      <c r="F36" s="2">
        <v>4</v>
      </c>
      <c r="G36" t="s">
        <v>11</v>
      </c>
      <c r="H36" s="4">
        <f>(CREATE_DATABASE_MY_PROJECT02[[#This Row],[Sales]]-CREATE_DATABASE_MY_PROJECT02[[#This Row],[Cost]])</f>
        <v>30</v>
      </c>
      <c r="I36" s="2">
        <f>(CREATE_DATABASE_MY_PROJECT02[[#This Row],[Profit]]/CREATE_DATABASE_MY_PROJECT02[[#This Row],[Sales]])</f>
        <v>3.3707865168539325E-2</v>
      </c>
    </row>
    <row r="37" spans="1:9" x14ac:dyDescent="0.45">
      <c r="A37" s="1">
        <v>45328</v>
      </c>
      <c r="B37" t="s">
        <v>7</v>
      </c>
      <c r="C37" t="s">
        <v>8</v>
      </c>
      <c r="D37" s="4">
        <v>640</v>
      </c>
      <c r="E37" s="4">
        <v>420</v>
      </c>
      <c r="F37" s="2">
        <v>12</v>
      </c>
      <c r="G37" t="s">
        <v>13</v>
      </c>
      <c r="H37" s="4">
        <f>(CREATE_DATABASE_MY_PROJECT02[[#This Row],[Sales]]-CREATE_DATABASE_MY_PROJECT02[[#This Row],[Cost]])</f>
        <v>220</v>
      </c>
      <c r="I37" s="2">
        <f>(CREATE_DATABASE_MY_PROJECT02[[#This Row],[Profit]]/CREATE_DATABASE_MY_PROJECT02[[#This Row],[Sales]])</f>
        <v>0.34375</v>
      </c>
    </row>
    <row r="38" spans="1:9" x14ac:dyDescent="0.45">
      <c r="A38" s="1">
        <v>45329</v>
      </c>
      <c r="B38" t="s">
        <v>10</v>
      </c>
      <c r="C38" t="s">
        <v>8</v>
      </c>
      <c r="D38" s="4">
        <v>1120</v>
      </c>
      <c r="E38" s="4">
        <v>960</v>
      </c>
      <c r="F38" s="2">
        <v>6</v>
      </c>
      <c r="G38" t="s">
        <v>9</v>
      </c>
      <c r="H38" s="4">
        <f>(CREATE_DATABASE_MY_PROJECT02[[#This Row],[Sales]]-CREATE_DATABASE_MY_PROJECT02[[#This Row],[Cost]])</f>
        <v>160</v>
      </c>
      <c r="I38" s="2">
        <f>(CREATE_DATABASE_MY_PROJECT02[[#This Row],[Profit]]/CREATE_DATABASE_MY_PROJECT02[[#This Row],[Sales]])</f>
        <v>0.14285714285714285</v>
      </c>
    </row>
    <row r="39" spans="1:9" x14ac:dyDescent="0.45">
      <c r="A39" s="1">
        <v>45330</v>
      </c>
      <c r="B39" t="s">
        <v>12</v>
      </c>
      <c r="C39" t="s">
        <v>8</v>
      </c>
      <c r="D39" s="4">
        <v>760</v>
      </c>
      <c r="E39" s="4">
        <v>740</v>
      </c>
      <c r="F39" s="2">
        <v>7</v>
      </c>
      <c r="G39" t="s">
        <v>11</v>
      </c>
      <c r="H39" s="4">
        <f>(CREATE_DATABASE_MY_PROJECT02[[#This Row],[Sales]]-CREATE_DATABASE_MY_PROJECT02[[#This Row],[Cost]])</f>
        <v>20</v>
      </c>
      <c r="I39" s="2">
        <f>(CREATE_DATABASE_MY_PROJECT02[[#This Row],[Profit]]/CREATE_DATABASE_MY_PROJECT02[[#This Row],[Sales]])</f>
        <v>2.6315789473684209E-2</v>
      </c>
    </row>
    <row r="40" spans="1:9" x14ac:dyDescent="0.45">
      <c r="A40" s="1">
        <v>45331</v>
      </c>
      <c r="B40" t="s">
        <v>14</v>
      </c>
      <c r="C40" t="s">
        <v>15</v>
      </c>
      <c r="D40" s="4">
        <v>1420</v>
      </c>
      <c r="E40" s="4">
        <v>1220</v>
      </c>
      <c r="F40" s="2">
        <v>5</v>
      </c>
      <c r="G40" t="s">
        <v>13</v>
      </c>
      <c r="H40" s="4">
        <f>(CREATE_DATABASE_MY_PROJECT02[[#This Row],[Sales]]-CREATE_DATABASE_MY_PROJECT02[[#This Row],[Cost]])</f>
        <v>200</v>
      </c>
      <c r="I40" s="2">
        <f>(CREATE_DATABASE_MY_PROJECT02[[#This Row],[Profit]]/CREATE_DATABASE_MY_PROJECT02[[#This Row],[Sales]])</f>
        <v>0.14084507042253522</v>
      </c>
    </row>
    <row r="41" spans="1:9" x14ac:dyDescent="0.45">
      <c r="A41" s="1">
        <v>45332</v>
      </c>
      <c r="B41" t="s">
        <v>16</v>
      </c>
      <c r="C41" t="s">
        <v>15</v>
      </c>
      <c r="D41" s="4">
        <v>960</v>
      </c>
      <c r="E41" s="4">
        <v>900</v>
      </c>
      <c r="F41" s="2">
        <v>5</v>
      </c>
      <c r="G41" t="s">
        <v>9</v>
      </c>
      <c r="H41" s="4">
        <f>(CREATE_DATABASE_MY_PROJECT02[[#This Row],[Sales]]-CREATE_DATABASE_MY_PROJECT02[[#This Row],[Cost]])</f>
        <v>60</v>
      </c>
      <c r="I41" s="2">
        <f>(CREATE_DATABASE_MY_PROJECT02[[#This Row],[Profit]]/CREATE_DATABASE_MY_PROJECT02[[#This Row],[Sales]])</f>
        <v>6.25E-2</v>
      </c>
    </row>
    <row r="42" spans="1:9" x14ac:dyDescent="0.45">
      <c r="A42" s="1">
        <v>45333</v>
      </c>
      <c r="B42" t="s">
        <v>7</v>
      </c>
      <c r="C42" t="s">
        <v>8</v>
      </c>
      <c r="D42" s="4">
        <v>560</v>
      </c>
      <c r="E42" s="4">
        <v>310</v>
      </c>
      <c r="F42" s="2">
        <v>11</v>
      </c>
      <c r="G42" t="s">
        <v>11</v>
      </c>
      <c r="H42" s="4">
        <f>(CREATE_DATABASE_MY_PROJECT02[[#This Row],[Sales]]-CREATE_DATABASE_MY_PROJECT02[[#This Row],[Cost]])</f>
        <v>250</v>
      </c>
      <c r="I42" s="2">
        <f>(CREATE_DATABASE_MY_PROJECT02[[#This Row],[Profit]]/CREATE_DATABASE_MY_PROJECT02[[#This Row],[Sales]])</f>
        <v>0.44642857142857145</v>
      </c>
    </row>
    <row r="43" spans="1:9" x14ac:dyDescent="0.45">
      <c r="A43" s="1">
        <v>45334</v>
      </c>
      <c r="B43" t="s">
        <v>10</v>
      </c>
      <c r="C43" t="s">
        <v>8</v>
      </c>
      <c r="D43" s="4">
        <v>1320</v>
      </c>
      <c r="E43" s="4">
        <v>1010</v>
      </c>
      <c r="F43" s="2">
        <v>7</v>
      </c>
      <c r="G43" t="s">
        <v>13</v>
      </c>
      <c r="H43" s="4">
        <f>(CREATE_DATABASE_MY_PROJECT02[[#This Row],[Sales]]-CREATE_DATABASE_MY_PROJECT02[[#This Row],[Cost]])</f>
        <v>310</v>
      </c>
      <c r="I43" s="2">
        <f>(CREATE_DATABASE_MY_PROJECT02[[#This Row],[Profit]]/CREATE_DATABASE_MY_PROJECT02[[#This Row],[Sales]])</f>
        <v>0.23484848484848486</v>
      </c>
    </row>
    <row r="44" spans="1:9" x14ac:dyDescent="0.45">
      <c r="A44" s="1">
        <v>45335</v>
      </c>
      <c r="B44" t="s">
        <v>12</v>
      </c>
      <c r="C44" t="s">
        <v>8</v>
      </c>
      <c r="D44" s="4">
        <v>840</v>
      </c>
      <c r="E44" s="4">
        <v>800</v>
      </c>
      <c r="F44" s="2">
        <v>6</v>
      </c>
      <c r="G44" t="s">
        <v>9</v>
      </c>
      <c r="H44" s="4">
        <f>(CREATE_DATABASE_MY_PROJECT02[[#This Row],[Sales]]-CREATE_DATABASE_MY_PROJECT02[[#This Row],[Cost]])</f>
        <v>40</v>
      </c>
      <c r="I44" s="2">
        <f>(CREATE_DATABASE_MY_PROJECT02[[#This Row],[Profit]]/CREATE_DATABASE_MY_PROJECT02[[#This Row],[Sales]])</f>
        <v>4.7619047619047616E-2</v>
      </c>
    </row>
    <row r="45" spans="1:9" x14ac:dyDescent="0.45">
      <c r="A45" s="1">
        <v>45336</v>
      </c>
      <c r="B45" t="s">
        <v>14</v>
      </c>
      <c r="C45" t="s">
        <v>15</v>
      </c>
      <c r="D45" s="4">
        <v>1620</v>
      </c>
      <c r="E45" s="4">
        <v>1420</v>
      </c>
      <c r="F45" s="2">
        <v>7</v>
      </c>
      <c r="G45" t="s">
        <v>11</v>
      </c>
      <c r="H45" s="4">
        <f>(CREATE_DATABASE_MY_PROJECT02[[#This Row],[Sales]]-CREATE_DATABASE_MY_PROJECT02[[#This Row],[Cost]])</f>
        <v>200</v>
      </c>
      <c r="I45" s="2">
        <f>(CREATE_DATABASE_MY_PROJECT02[[#This Row],[Profit]]/CREATE_DATABASE_MY_PROJECT02[[#This Row],[Sales]])</f>
        <v>0.12345679012345678</v>
      </c>
    </row>
    <row r="46" spans="1:9" x14ac:dyDescent="0.45">
      <c r="A46" s="1">
        <v>45337</v>
      </c>
      <c r="B46" t="s">
        <v>16</v>
      </c>
      <c r="C46" t="s">
        <v>15</v>
      </c>
      <c r="D46" s="4">
        <v>870</v>
      </c>
      <c r="E46" s="4">
        <v>850</v>
      </c>
      <c r="F46" s="2">
        <v>4</v>
      </c>
      <c r="G46" t="s">
        <v>13</v>
      </c>
      <c r="H46" s="4">
        <f>(CREATE_DATABASE_MY_PROJECT02[[#This Row],[Sales]]-CREATE_DATABASE_MY_PROJECT02[[#This Row],[Cost]])</f>
        <v>20</v>
      </c>
      <c r="I46" s="2">
        <f>(CREATE_DATABASE_MY_PROJECT02[[#This Row],[Profit]]/CREATE_DATABASE_MY_PROJECT02[[#This Row],[Sales]])</f>
        <v>2.2988505747126436E-2</v>
      </c>
    </row>
    <row r="47" spans="1:9" x14ac:dyDescent="0.45">
      <c r="A47" s="1">
        <v>45338</v>
      </c>
      <c r="B47" t="s">
        <v>7</v>
      </c>
      <c r="C47" t="s">
        <v>8</v>
      </c>
      <c r="D47" s="4">
        <v>630</v>
      </c>
      <c r="E47" s="4">
        <v>410</v>
      </c>
      <c r="F47" s="2">
        <v>10</v>
      </c>
      <c r="G47" t="s">
        <v>9</v>
      </c>
      <c r="H47" s="4">
        <f>(CREATE_DATABASE_MY_PROJECT02[[#This Row],[Sales]]-CREATE_DATABASE_MY_PROJECT02[[#This Row],[Cost]])</f>
        <v>220</v>
      </c>
      <c r="I47" s="2">
        <f>(CREATE_DATABASE_MY_PROJECT02[[#This Row],[Profit]]/CREATE_DATABASE_MY_PROJECT02[[#This Row],[Sales]])</f>
        <v>0.34920634920634919</v>
      </c>
    </row>
    <row r="48" spans="1:9" x14ac:dyDescent="0.45">
      <c r="A48" s="1">
        <v>45339</v>
      </c>
      <c r="B48" t="s">
        <v>10</v>
      </c>
      <c r="C48" t="s">
        <v>8</v>
      </c>
      <c r="D48" s="4">
        <v>1270</v>
      </c>
      <c r="E48" s="4">
        <v>1000</v>
      </c>
      <c r="F48" s="2">
        <v>6</v>
      </c>
      <c r="G48" t="s">
        <v>11</v>
      </c>
      <c r="H48" s="4">
        <f>(CREATE_DATABASE_MY_PROJECT02[[#This Row],[Sales]]-CREATE_DATABASE_MY_PROJECT02[[#This Row],[Cost]])</f>
        <v>270</v>
      </c>
      <c r="I48" s="2">
        <f>(CREATE_DATABASE_MY_PROJECT02[[#This Row],[Profit]]/CREATE_DATABASE_MY_PROJECT02[[#This Row],[Sales]])</f>
        <v>0.2125984251968504</v>
      </c>
    </row>
    <row r="49" spans="1:9" x14ac:dyDescent="0.45">
      <c r="A49" s="1">
        <v>45340</v>
      </c>
      <c r="B49" t="s">
        <v>12</v>
      </c>
      <c r="C49" t="s">
        <v>8</v>
      </c>
      <c r="D49" s="4">
        <v>780</v>
      </c>
      <c r="E49" s="4">
        <v>750</v>
      </c>
      <c r="F49" s="2">
        <v>8</v>
      </c>
      <c r="G49" t="s">
        <v>13</v>
      </c>
      <c r="H49" s="4">
        <f>(CREATE_DATABASE_MY_PROJECT02[[#This Row],[Sales]]-CREATE_DATABASE_MY_PROJECT02[[#This Row],[Cost]])</f>
        <v>30</v>
      </c>
      <c r="I49" s="2">
        <f>(CREATE_DATABASE_MY_PROJECT02[[#This Row],[Profit]]/CREATE_DATABASE_MY_PROJECT02[[#This Row],[Sales]])</f>
        <v>3.8461538461538464E-2</v>
      </c>
    </row>
    <row r="50" spans="1:9" x14ac:dyDescent="0.45">
      <c r="A50" s="1">
        <v>45341</v>
      </c>
      <c r="B50" t="s">
        <v>14</v>
      </c>
      <c r="C50" t="s">
        <v>15</v>
      </c>
      <c r="D50" s="4">
        <v>1570</v>
      </c>
      <c r="E50" s="4">
        <v>1370</v>
      </c>
      <c r="F50" s="2">
        <v>6</v>
      </c>
      <c r="G50" t="s">
        <v>9</v>
      </c>
      <c r="H50" s="4">
        <f>(CREATE_DATABASE_MY_PROJECT02[[#This Row],[Sales]]-CREATE_DATABASE_MY_PROJECT02[[#This Row],[Cost]])</f>
        <v>200</v>
      </c>
      <c r="I50" s="2">
        <f>(CREATE_DATABASE_MY_PROJECT02[[#This Row],[Profit]]/CREATE_DATABASE_MY_PROJECT02[[#This Row],[Sales]])</f>
        <v>0.12738853503184713</v>
      </c>
    </row>
    <row r="51" spans="1:9" x14ac:dyDescent="0.45">
      <c r="A51" s="1">
        <v>45342</v>
      </c>
      <c r="B51" t="s">
        <v>16</v>
      </c>
      <c r="C51" t="s">
        <v>15</v>
      </c>
      <c r="D51" s="4">
        <v>930</v>
      </c>
      <c r="E51" s="4">
        <v>900</v>
      </c>
      <c r="F51" s="2">
        <v>5</v>
      </c>
      <c r="G51" t="s">
        <v>11</v>
      </c>
      <c r="H51" s="4">
        <f>(CREATE_DATABASE_MY_PROJECT02[[#This Row],[Sales]]-CREATE_DATABASE_MY_PROJECT02[[#This Row],[Cost]])</f>
        <v>30</v>
      </c>
      <c r="I51" s="2">
        <f>(CREATE_DATABASE_MY_PROJECT02[[#This Row],[Profit]]/CREATE_DATABASE_MY_PROJECT02[[#This Row],[Sales]])</f>
        <v>3.2258064516129031E-2</v>
      </c>
    </row>
    <row r="52" spans="1:9" x14ac:dyDescent="0.45">
      <c r="A52" s="1">
        <v>45343</v>
      </c>
      <c r="B52" t="s">
        <v>7</v>
      </c>
      <c r="C52" t="s">
        <v>8</v>
      </c>
      <c r="D52" s="4">
        <v>590</v>
      </c>
      <c r="E52" s="4">
        <v>330</v>
      </c>
      <c r="F52" s="2">
        <v>9</v>
      </c>
      <c r="G52" t="s">
        <v>13</v>
      </c>
      <c r="H52" s="4">
        <f>(CREATE_DATABASE_MY_PROJECT02[[#This Row],[Sales]]-CREATE_DATABASE_MY_PROJECT02[[#This Row],[Cost]])</f>
        <v>260</v>
      </c>
      <c r="I52" s="2">
        <f>(CREATE_DATABASE_MY_PROJECT02[[#This Row],[Profit]]/CREATE_DATABASE_MY_PROJECT02[[#This Row],[Sales]])</f>
        <v>0.44067796610169491</v>
      </c>
    </row>
    <row r="53" spans="1:9" x14ac:dyDescent="0.45">
      <c r="A53" s="1">
        <v>45344</v>
      </c>
      <c r="B53" t="s">
        <v>10</v>
      </c>
      <c r="C53" t="s">
        <v>8</v>
      </c>
      <c r="D53" s="4">
        <v>1160</v>
      </c>
      <c r="E53" s="4">
        <v>940</v>
      </c>
      <c r="F53" s="2">
        <v>5</v>
      </c>
      <c r="G53" t="s">
        <v>9</v>
      </c>
      <c r="H53" s="4">
        <f>(CREATE_DATABASE_MY_PROJECT02[[#This Row],[Sales]]-CREATE_DATABASE_MY_PROJECT02[[#This Row],[Cost]])</f>
        <v>220</v>
      </c>
      <c r="I53" s="2">
        <f>(CREATE_DATABASE_MY_PROJECT02[[#This Row],[Profit]]/CREATE_DATABASE_MY_PROJECT02[[#This Row],[Sales]])</f>
        <v>0.18965517241379309</v>
      </c>
    </row>
    <row r="54" spans="1:9" x14ac:dyDescent="0.45">
      <c r="A54" s="1">
        <v>45345</v>
      </c>
      <c r="B54" t="s">
        <v>12</v>
      </c>
      <c r="C54" t="s">
        <v>8</v>
      </c>
      <c r="D54" s="4">
        <v>800</v>
      </c>
      <c r="E54" s="4">
        <v>770</v>
      </c>
      <c r="F54" s="2">
        <v>7</v>
      </c>
      <c r="G54" t="s">
        <v>11</v>
      </c>
      <c r="H54" s="4">
        <f>(CREATE_DATABASE_MY_PROJECT02[[#This Row],[Sales]]-CREATE_DATABASE_MY_PROJECT02[[#This Row],[Cost]])</f>
        <v>30</v>
      </c>
      <c r="I54" s="2">
        <f>(CREATE_DATABASE_MY_PROJECT02[[#This Row],[Profit]]/CREATE_DATABASE_MY_PROJECT02[[#This Row],[Sales]])</f>
        <v>3.7499999999999999E-2</v>
      </c>
    </row>
    <row r="55" spans="1:9" x14ac:dyDescent="0.45">
      <c r="A55" s="1">
        <v>45346</v>
      </c>
      <c r="B55" t="s">
        <v>14</v>
      </c>
      <c r="C55" t="s">
        <v>15</v>
      </c>
      <c r="D55" s="4">
        <v>1470</v>
      </c>
      <c r="E55" s="4">
        <v>1270</v>
      </c>
      <c r="F55" s="2">
        <v>6</v>
      </c>
      <c r="G55" t="s">
        <v>13</v>
      </c>
      <c r="H55" s="4">
        <f>(CREATE_DATABASE_MY_PROJECT02[[#This Row],[Sales]]-CREATE_DATABASE_MY_PROJECT02[[#This Row],[Cost]])</f>
        <v>200</v>
      </c>
      <c r="I55" s="2">
        <f>(CREATE_DATABASE_MY_PROJECT02[[#This Row],[Profit]]/CREATE_DATABASE_MY_PROJECT02[[#This Row],[Sales]])</f>
        <v>0.1360544217687075</v>
      </c>
    </row>
    <row r="56" spans="1:9" x14ac:dyDescent="0.45">
      <c r="A56" s="1">
        <v>45347</v>
      </c>
      <c r="B56" t="s">
        <v>16</v>
      </c>
      <c r="C56" t="s">
        <v>15</v>
      </c>
      <c r="D56" s="4">
        <v>920</v>
      </c>
      <c r="E56" s="4">
        <v>890</v>
      </c>
      <c r="F56" s="2">
        <v>4</v>
      </c>
      <c r="G56" t="s">
        <v>9</v>
      </c>
      <c r="H56" s="4">
        <f>(CREATE_DATABASE_MY_PROJECT02[[#This Row],[Sales]]-CREATE_DATABASE_MY_PROJECT02[[#This Row],[Cost]])</f>
        <v>30</v>
      </c>
      <c r="I56" s="2">
        <f>(CREATE_DATABASE_MY_PROJECT02[[#This Row],[Profit]]/CREATE_DATABASE_MY_PROJECT02[[#This Row],[Sales]])</f>
        <v>3.2608695652173912E-2</v>
      </c>
    </row>
    <row r="57" spans="1:9" x14ac:dyDescent="0.45">
      <c r="A57" s="1">
        <v>45352</v>
      </c>
      <c r="B57" t="s">
        <v>7</v>
      </c>
      <c r="C57" t="s">
        <v>8</v>
      </c>
      <c r="D57" s="4">
        <v>540</v>
      </c>
      <c r="E57" s="4">
        <v>370</v>
      </c>
      <c r="F57" s="2">
        <v>10</v>
      </c>
      <c r="G57" t="s">
        <v>9</v>
      </c>
      <c r="H57" s="4">
        <f>(CREATE_DATABASE_MY_PROJECT02[[#This Row],[Sales]]-CREATE_DATABASE_MY_PROJECT02[[#This Row],[Cost]])</f>
        <v>170</v>
      </c>
      <c r="I57" s="2">
        <f>(CREATE_DATABASE_MY_PROJECT02[[#This Row],[Profit]]/CREATE_DATABASE_MY_PROJECT02[[#This Row],[Sales]])</f>
        <v>0.31481481481481483</v>
      </c>
    </row>
    <row r="58" spans="1:9" x14ac:dyDescent="0.45">
      <c r="A58" s="1">
        <v>45353</v>
      </c>
      <c r="B58" t="s">
        <v>10</v>
      </c>
      <c r="C58" t="s">
        <v>8</v>
      </c>
      <c r="D58" s="4">
        <v>1190</v>
      </c>
      <c r="E58" s="4">
        <v>950</v>
      </c>
      <c r="F58" s="2">
        <v>5</v>
      </c>
      <c r="G58" t="s">
        <v>11</v>
      </c>
      <c r="H58" s="4">
        <f>(CREATE_DATABASE_MY_PROJECT02[[#This Row],[Sales]]-CREATE_DATABASE_MY_PROJECT02[[#This Row],[Cost]])</f>
        <v>240</v>
      </c>
      <c r="I58" s="2">
        <f>(CREATE_DATABASE_MY_PROJECT02[[#This Row],[Profit]]/CREATE_DATABASE_MY_PROJECT02[[#This Row],[Sales]])</f>
        <v>0.20168067226890757</v>
      </c>
    </row>
    <row r="59" spans="1:9" x14ac:dyDescent="0.45">
      <c r="A59" s="1">
        <v>45354</v>
      </c>
      <c r="B59" t="s">
        <v>12</v>
      </c>
      <c r="C59" t="s">
        <v>8</v>
      </c>
      <c r="D59" s="4">
        <v>820</v>
      </c>
      <c r="E59" s="4">
        <v>790</v>
      </c>
      <c r="F59" s="2">
        <v>8</v>
      </c>
      <c r="G59" t="s">
        <v>13</v>
      </c>
      <c r="H59" s="4">
        <f>(CREATE_DATABASE_MY_PROJECT02[[#This Row],[Sales]]-CREATE_DATABASE_MY_PROJECT02[[#This Row],[Cost]])</f>
        <v>30</v>
      </c>
      <c r="I59" s="2">
        <f>(CREATE_DATABASE_MY_PROJECT02[[#This Row],[Profit]]/CREATE_DATABASE_MY_PROJECT02[[#This Row],[Sales]])</f>
        <v>3.6585365853658534E-2</v>
      </c>
    </row>
    <row r="60" spans="1:9" x14ac:dyDescent="0.45">
      <c r="A60" s="1">
        <v>45355</v>
      </c>
      <c r="B60" t="s">
        <v>14</v>
      </c>
      <c r="C60" t="s">
        <v>15</v>
      </c>
      <c r="D60" s="4">
        <v>1530</v>
      </c>
      <c r="E60" s="4">
        <v>1330</v>
      </c>
      <c r="F60" s="2">
        <v>6</v>
      </c>
      <c r="G60" t="s">
        <v>9</v>
      </c>
      <c r="H60" s="4">
        <f>(CREATE_DATABASE_MY_PROJECT02[[#This Row],[Sales]]-CREATE_DATABASE_MY_PROJECT02[[#This Row],[Cost]])</f>
        <v>200</v>
      </c>
      <c r="I60" s="2">
        <f>(CREATE_DATABASE_MY_PROJECT02[[#This Row],[Profit]]/CREATE_DATABASE_MY_PROJECT02[[#This Row],[Sales]])</f>
        <v>0.13071895424836602</v>
      </c>
    </row>
    <row r="61" spans="1:9" x14ac:dyDescent="0.45">
      <c r="A61" s="1">
        <v>45356</v>
      </c>
      <c r="B61" t="s">
        <v>16</v>
      </c>
      <c r="C61" t="s">
        <v>15</v>
      </c>
      <c r="D61" s="4">
        <v>900</v>
      </c>
      <c r="E61" s="4">
        <v>870</v>
      </c>
      <c r="F61" s="2">
        <v>4</v>
      </c>
      <c r="G61" t="s">
        <v>11</v>
      </c>
      <c r="H61" s="4">
        <f>(CREATE_DATABASE_MY_PROJECT02[[#This Row],[Sales]]-CREATE_DATABASE_MY_PROJECT02[[#This Row],[Cost]])</f>
        <v>30</v>
      </c>
      <c r="I61" s="2">
        <f>(CREATE_DATABASE_MY_PROJECT02[[#This Row],[Profit]]/CREATE_DATABASE_MY_PROJECT02[[#This Row],[Sales]])</f>
        <v>3.3333333333333333E-2</v>
      </c>
    </row>
    <row r="62" spans="1:9" x14ac:dyDescent="0.45">
      <c r="A62" s="1">
        <v>45357</v>
      </c>
      <c r="B62" t="s">
        <v>7</v>
      </c>
      <c r="C62" t="s">
        <v>8</v>
      </c>
      <c r="D62" s="4">
        <v>650</v>
      </c>
      <c r="E62" s="4">
        <v>430</v>
      </c>
      <c r="F62" s="2">
        <v>12</v>
      </c>
      <c r="G62" t="s">
        <v>13</v>
      </c>
      <c r="H62" s="4">
        <f>(CREATE_DATABASE_MY_PROJECT02[[#This Row],[Sales]]-CREATE_DATABASE_MY_PROJECT02[[#This Row],[Cost]])</f>
        <v>220</v>
      </c>
      <c r="I62" s="2">
        <f>(CREATE_DATABASE_MY_PROJECT02[[#This Row],[Profit]]/CREATE_DATABASE_MY_PROJECT02[[#This Row],[Sales]])</f>
        <v>0.33846153846153848</v>
      </c>
    </row>
    <row r="63" spans="1:9" x14ac:dyDescent="0.45">
      <c r="A63" s="1">
        <v>45358</v>
      </c>
      <c r="B63" t="s">
        <v>10</v>
      </c>
      <c r="C63" t="s">
        <v>8</v>
      </c>
      <c r="D63" s="4">
        <v>1130</v>
      </c>
      <c r="E63" s="4">
        <v>970</v>
      </c>
      <c r="F63" s="2">
        <v>6</v>
      </c>
      <c r="G63" t="s">
        <v>9</v>
      </c>
      <c r="H63" s="4">
        <f>(CREATE_DATABASE_MY_PROJECT02[[#This Row],[Sales]]-CREATE_DATABASE_MY_PROJECT02[[#This Row],[Cost]])</f>
        <v>160</v>
      </c>
      <c r="I63" s="2">
        <f>(CREATE_DATABASE_MY_PROJECT02[[#This Row],[Profit]]/CREATE_DATABASE_MY_PROJECT02[[#This Row],[Sales]])</f>
        <v>0.1415929203539823</v>
      </c>
    </row>
    <row r="64" spans="1:9" x14ac:dyDescent="0.45">
      <c r="A64" s="1">
        <v>45359</v>
      </c>
      <c r="B64" t="s">
        <v>12</v>
      </c>
      <c r="C64" t="s">
        <v>8</v>
      </c>
      <c r="D64" s="4">
        <v>770</v>
      </c>
      <c r="E64" s="4">
        <v>750</v>
      </c>
      <c r="F64" s="2">
        <v>7</v>
      </c>
      <c r="G64" t="s">
        <v>11</v>
      </c>
      <c r="H64" s="4">
        <f>(CREATE_DATABASE_MY_PROJECT02[[#This Row],[Sales]]-CREATE_DATABASE_MY_PROJECT02[[#This Row],[Cost]])</f>
        <v>20</v>
      </c>
      <c r="I64" s="2">
        <f>(CREATE_DATABASE_MY_PROJECT02[[#This Row],[Profit]]/CREATE_DATABASE_MY_PROJECT02[[#This Row],[Sales]])</f>
        <v>2.5974025974025976E-2</v>
      </c>
    </row>
    <row r="65" spans="1:9" x14ac:dyDescent="0.45">
      <c r="A65" s="1">
        <v>45360</v>
      </c>
      <c r="B65" t="s">
        <v>14</v>
      </c>
      <c r="C65" t="s">
        <v>15</v>
      </c>
      <c r="D65" s="4">
        <v>1430</v>
      </c>
      <c r="E65" s="4">
        <v>1230</v>
      </c>
      <c r="F65" s="2">
        <v>5</v>
      </c>
      <c r="G65" t="s">
        <v>13</v>
      </c>
      <c r="H65" s="4">
        <f>(CREATE_DATABASE_MY_PROJECT02[[#This Row],[Sales]]-CREATE_DATABASE_MY_PROJECT02[[#This Row],[Cost]])</f>
        <v>200</v>
      </c>
      <c r="I65" s="2">
        <f>(CREATE_DATABASE_MY_PROJECT02[[#This Row],[Profit]]/CREATE_DATABASE_MY_PROJECT02[[#This Row],[Sales]])</f>
        <v>0.13986013986013987</v>
      </c>
    </row>
    <row r="66" spans="1:9" x14ac:dyDescent="0.45">
      <c r="A66" s="1">
        <v>45361</v>
      </c>
      <c r="B66" t="s">
        <v>16</v>
      </c>
      <c r="C66" t="s">
        <v>15</v>
      </c>
      <c r="D66" s="4">
        <v>970</v>
      </c>
      <c r="E66" s="4">
        <v>910</v>
      </c>
      <c r="F66" s="2">
        <v>5</v>
      </c>
      <c r="G66" t="s">
        <v>9</v>
      </c>
      <c r="H66" s="4">
        <f>(CREATE_DATABASE_MY_PROJECT02[[#This Row],[Sales]]-CREATE_DATABASE_MY_PROJECT02[[#This Row],[Cost]])</f>
        <v>60</v>
      </c>
      <c r="I66" s="2">
        <f>(CREATE_DATABASE_MY_PROJECT02[[#This Row],[Profit]]/CREATE_DATABASE_MY_PROJECT02[[#This Row],[Sales]])</f>
        <v>6.1855670103092786E-2</v>
      </c>
    </row>
    <row r="67" spans="1:9" x14ac:dyDescent="0.45">
      <c r="A67" s="1">
        <v>45362</v>
      </c>
      <c r="B67" t="s">
        <v>7</v>
      </c>
      <c r="C67" t="s">
        <v>8</v>
      </c>
      <c r="D67" s="4">
        <v>570</v>
      </c>
      <c r="E67" s="4">
        <v>320</v>
      </c>
      <c r="F67" s="2">
        <v>11</v>
      </c>
      <c r="G67" t="s">
        <v>11</v>
      </c>
      <c r="H67" s="4">
        <f>(CREATE_DATABASE_MY_PROJECT02[[#This Row],[Sales]]-CREATE_DATABASE_MY_PROJECT02[[#This Row],[Cost]])</f>
        <v>250</v>
      </c>
      <c r="I67" s="2">
        <f>(CREATE_DATABASE_MY_PROJECT02[[#This Row],[Profit]]/CREATE_DATABASE_MY_PROJECT02[[#This Row],[Sales]])</f>
        <v>0.43859649122807015</v>
      </c>
    </row>
    <row r="68" spans="1:9" x14ac:dyDescent="0.45">
      <c r="A68" s="1">
        <v>45363</v>
      </c>
      <c r="B68" t="s">
        <v>10</v>
      </c>
      <c r="C68" t="s">
        <v>8</v>
      </c>
      <c r="D68" s="4">
        <v>1340</v>
      </c>
      <c r="E68" s="4">
        <v>1030</v>
      </c>
      <c r="F68" s="2">
        <v>7</v>
      </c>
      <c r="G68" t="s">
        <v>13</v>
      </c>
      <c r="H68" s="4">
        <f>(CREATE_DATABASE_MY_PROJECT02[[#This Row],[Sales]]-CREATE_DATABASE_MY_PROJECT02[[#This Row],[Cost]])</f>
        <v>310</v>
      </c>
      <c r="I68" s="2">
        <f>(CREATE_DATABASE_MY_PROJECT02[[#This Row],[Profit]]/CREATE_DATABASE_MY_PROJECT02[[#This Row],[Sales]])</f>
        <v>0.23134328358208955</v>
      </c>
    </row>
    <row r="69" spans="1:9" x14ac:dyDescent="0.45">
      <c r="A69" s="1">
        <v>45364</v>
      </c>
      <c r="B69" t="s">
        <v>12</v>
      </c>
      <c r="C69" t="s">
        <v>8</v>
      </c>
      <c r="D69" s="4">
        <v>850</v>
      </c>
      <c r="E69" s="4">
        <v>810</v>
      </c>
      <c r="F69" s="2">
        <v>6</v>
      </c>
      <c r="G69" t="s">
        <v>9</v>
      </c>
      <c r="H69" s="4">
        <f>(CREATE_DATABASE_MY_PROJECT02[[#This Row],[Sales]]-CREATE_DATABASE_MY_PROJECT02[[#This Row],[Cost]])</f>
        <v>40</v>
      </c>
      <c r="I69" s="2">
        <f>(CREATE_DATABASE_MY_PROJECT02[[#This Row],[Profit]]/CREATE_DATABASE_MY_PROJECT02[[#This Row],[Sales]])</f>
        <v>4.7058823529411764E-2</v>
      </c>
    </row>
    <row r="70" spans="1:9" x14ac:dyDescent="0.45">
      <c r="A70" s="1">
        <v>45365</v>
      </c>
      <c r="B70" t="s">
        <v>14</v>
      </c>
      <c r="C70" t="s">
        <v>15</v>
      </c>
      <c r="D70" s="4">
        <v>1630</v>
      </c>
      <c r="E70" s="4">
        <v>1430</v>
      </c>
      <c r="F70" s="2">
        <v>7</v>
      </c>
      <c r="G70" t="s">
        <v>11</v>
      </c>
      <c r="H70" s="4">
        <f>(CREATE_DATABASE_MY_PROJECT02[[#This Row],[Sales]]-CREATE_DATABASE_MY_PROJECT02[[#This Row],[Cost]])</f>
        <v>200</v>
      </c>
      <c r="I70" s="2">
        <f>(CREATE_DATABASE_MY_PROJECT02[[#This Row],[Profit]]/CREATE_DATABASE_MY_PROJECT02[[#This Row],[Sales]])</f>
        <v>0.12269938650306748</v>
      </c>
    </row>
    <row r="71" spans="1:9" x14ac:dyDescent="0.45">
      <c r="A71" s="1">
        <v>45366</v>
      </c>
      <c r="B71" t="s">
        <v>16</v>
      </c>
      <c r="C71" t="s">
        <v>15</v>
      </c>
      <c r="D71" s="4">
        <v>880</v>
      </c>
      <c r="E71" s="4">
        <v>860</v>
      </c>
      <c r="F71" s="2">
        <v>4</v>
      </c>
      <c r="G71" t="s">
        <v>13</v>
      </c>
      <c r="H71" s="4">
        <f>(CREATE_DATABASE_MY_PROJECT02[[#This Row],[Sales]]-CREATE_DATABASE_MY_PROJECT02[[#This Row],[Cost]])</f>
        <v>20</v>
      </c>
      <c r="I71" s="2">
        <f>(CREATE_DATABASE_MY_PROJECT02[[#This Row],[Profit]]/CREATE_DATABASE_MY_PROJECT02[[#This Row],[Sales]])</f>
        <v>2.2727272727272728E-2</v>
      </c>
    </row>
    <row r="72" spans="1:9" x14ac:dyDescent="0.45">
      <c r="A72" s="1">
        <v>45367</v>
      </c>
      <c r="B72" t="s">
        <v>7</v>
      </c>
      <c r="C72" t="s">
        <v>8</v>
      </c>
      <c r="D72" s="4">
        <v>640</v>
      </c>
      <c r="E72" s="4">
        <v>420</v>
      </c>
      <c r="F72" s="2">
        <v>10</v>
      </c>
      <c r="G72" t="s">
        <v>9</v>
      </c>
      <c r="H72" s="4">
        <f>(CREATE_DATABASE_MY_PROJECT02[[#This Row],[Sales]]-CREATE_DATABASE_MY_PROJECT02[[#This Row],[Cost]])</f>
        <v>220</v>
      </c>
      <c r="I72" s="2">
        <f>(CREATE_DATABASE_MY_PROJECT02[[#This Row],[Profit]]/CREATE_DATABASE_MY_PROJECT02[[#This Row],[Sales]])</f>
        <v>0.34375</v>
      </c>
    </row>
    <row r="73" spans="1:9" x14ac:dyDescent="0.45">
      <c r="A73" s="1">
        <v>45368</v>
      </c>
      <c r="B73" t="s">
        <v>10</v>
      </c>
      <c r="C73" t="s">
        <v>8</v>
      </c>
      <c r="D73" s="4">
        <v>1280</v>
      </c>
      <c r="E73" s="4">
        <v>1010</v>
      </c>
      <c r="F73" s="2">
        <v>6</v>
      </c>
      <c r="G73" t="s">
        <v>11</v>
      </c>
      <c r="H73" s="4">
        <f>(CREATE_DATABASE_MY_PROJECT02[[#This Row],[Sales]]-CREATE_DATABASE_MY_PROJECT02[[#This Row],[Cost]])</f>
        <v>270</v>
      </c>
      <c r="I73" s="2">
        <f>(CREATE_DATABASE_MY_PROJECT02[[#This Row],[Profit]]/CREATE_DATABASE_MY_PROJECT02[[#This Row],[Sales]])</f>
        <v>0.2109375</v>
      </c>
    </row>
    <row r="74" spans="1:9" x14ac:dyDescent="0.45">
      <c r="A74" s="1">
        <v>45369</v>
      </c>
      <c r="B74" t="s">
        <v>12</v>
      </c>
      <c r="C74" t="s">
        <v>8</v>
      </c>
      <c r="D74" s="4">
        <v>790</v>
      </c>
      <c r="E74" s="4">
        <v>760</v>
      </c>
      <c r="F74" s="2">
        <v>8</v>
      </c>
      <c r="G74" t="s">
        <v>13</v>
      </c>
      <c r="H74" s="4">
        <f>(CREATE_DATABASE_MY_PROJECT02[[#This Row],[Sales]]-CREATE_DATABASE_MY_PROJECT02[[#This Row],[Cost]])</f>
        <v>30</v>
      </c>
      <c r="I74" s="2">
        <f>(CREATE_DATABASE_MY_PROJECT02[[#This Row],[Profit]]/CREATE_DATABASE_MY_PROJECT02[[#This Row],[Sales]])</f>
        <v>3.7974683544303799E-2</v>
      </c>
    </row>
    <row r="75" spans="1:9" x14ac:dyDescent="0.45">
      <c r="A75" s="1">
        <v>45370</v>
      </c>
      <c r="B75" t="s">
        <v>14</v>
      </c>
      <c r="C75" t="s">
        <v>15</v>
      </c>
      <c r="D75" s="4">
        <v>1580</v>
      </c>
      <c r="E75" s="4">
        <v>1380</v>
      </c>
      <c r="F75" s="2">
        <v>6</v>
      </c>
      <c r="G75" t="s">
        <v>9</v>
      </c>
      <c r="H75" s="4">
        <f>(CREATE_DATABASE_MY_PROJECT02[[#This Row],[Sales]]-CREATE_DATABASE_MY_PROJECT02[[#This Row],[Cost]])</f>
        <v>200</v>
      </c>
      <c r="I75" s="2">
        <f>(CREATE_DATABASE_MY_PROJECT02[[#This Row],[Profit]]/CREATE_DATABASE_MY_PROJECT02[[#This Row],[Sales]])</f>
        <v>0.12658227848101267</v>
      </c>
    </row>
    <row r="76" spans="1:9" x14ac:dyDescent="0.45">
      <c r="A76" s="1">
        <v>45371</v>
      </c>
      <c r="B76" t="s">
        <v>16</v>
      </c>
      <c r="C76" t="s">
        <v>15</v>
      </c>
      <c r="D76" s="4">
        <v>940</v>
      </c>
      <c r="E76" s="4">
        <v>910</v>
      </c>
      <c r="F76" s="2">
        <v>5</v>
      </c>
      <c r="G76" t="s">
        <v>11</v>
      </c>
      <c r="H76" s="4">
        <f>(CREATE_DATABASE_MY_PROJECT02[[#This Row],[Sales]]-CREATE_DATABASE_MY_PROJECT02[[#This Row],[Cost]])</f>
        <v>30</v>
      </c>
      <c r="I76" s="2">
        <f>(CREATE_DATABASE_MY_PROJECT02[[#This Row],[Profit]]/CREATE_DATABASE_MY_PROJECT02[[#This Row],[Sales]])</f>
        <v>3.1914893617021274E-2</v>
      </c>
    </row>
    <row r="77" spans="1:9" x14ac:dyDescent="0.45">
      <c r="A77" s="1">
        <v>45372</v>
      </c>
      <c r="B77" t="s">
        <v>7</v>
      </c>
      <c r="C77" t="s">
        <v>8</v>
      </c>
      <c r="D77" s="4">
        <v>600</v>
      </c>
      <c r="E77" s="4">
        <v>340</v>
      </c>
      <c r="F77" s="2">
        <v>9</v>
      </c>
      <c r="G77" t="s">
        <v>13</v>
      </c>
      <c r="H77" s="4">
        <f>(CREATE_DATABASE_MY_PROJECT02[[#This Row],[Sales]]-CREATE_DATABASE_MY_PROJECT02[[#This Row],[Cost]])</f>
        <v>260</v>
      </c>
      <c r="I77" s="2">
        <f>(CREATE_DATABASE_MY_PROJECT02[[#This Row],[Profit]]/CREATE_DATABASE_MY_PROJECT02[[#This Row],[Sales]])</f>
        <v>0.43333333333333335</v>
      </c>
    </row>
    <row r="78" spans="1:9" x14ac:dyDescent="0.45">
      <c r="A78" s="1">
        <v>45373</v>
      </c>
      <c r="B78" t="s">
        <v>10</v>
      </c>
      <c r="C78" t="s">
        <v>8</v>
      </c>
      <c r="D78" s="4">
        <v>1180</v>
      </c>
      <c r="E78" s="4">
        <v>960</v>
      </c>
      <c r="F78" s="2">
        <v>5</v>
      </c>
      <c r="G78" t="s">
        <v>9</v>
      </c>
      <c r="H78" s="4">
        <f>(CREATE_DATABASE_MY_PROJECT02[[#This Row],[Sales]]-CREATE_DATABASE_MY_PROJECT02[[#This Row],[Cost]])</f>
        <v>220</v>
      </c>
      <c r="I78" s="2">
        <f>(CREATE_DATABASE_MY_PROJECT02[[#This Row],[Profit]]/CREATE_DATABASE_MY_PROJECT02[[#This Row],[Sales]])</f>
        <v>0.1864406779661017</v>
      </c>
    </row>
    <row r="79" spans="1:9" x14ac:dyDescent="0.45">
      <c r="A79" s="1">
        <v>45374</v>
      </c>
      <c r="B79" t="s">
        <v>12</v>
      </c>
      <c r="C79" t="s">
        <v>8</v>
      </c>
      <c r="D79" s="4">
        <v>810</v>
      </c>
      <c r="E79" s="4">
        <v>780</v>
      </c>
      <c r="F79" s="2">
        <v>7</v>
      </c>
      <c r="G79" t="s">
        <v>11</v>
      </c>
      <c r="H79" s="4">
        <f>(CREATE_DATABASE_MY_PROJECT02[[#This Row],[Sales]]-CREATE_DATABASE_MY_PROJECT02[[#This Row],[Cost]])</f>
        <v>30</v>
      </c>
      <c r="I79" s="2">
        <f>(CREATE_DATABASE_MY_PROJECT02[[#This Row],[Profit]]/CREATE_DATABASE_MY_PROJECT02[[#This Row],[Sales]])</f>
        <v>3.7037037037037035E-2</v>
      </c>
    </row>
    <row r="80" spans="1:9" x14ac:dyDescent="0.45">
      <c r="A80" s="1">
        <v>45375</v>
      </c>
      <c r="B80" t="s">
        <v>14</v>
      </c>
      <c r="C80" t="s">
        <v>15</v>
      </c>
      <c r="D80" s="4">
        <v>1480</v>
      </c>
      <c r="E80" s="4">
        <v>1280</v>
      </c>
      <c r="F80" s="2">
        <v>6</v>
      </c>
      <c r="G80" t="s">
        <v>13</v>
      </c>
      <c r="H80" s="4">
        <f>(CREATE_DATABASE_MY_PROJECT02[[#This Row],[Sales]]-CREATE_DATABASE_MY_PROJECT02[[#This Row],[Cost]])</f>
        <v>200</v>
      </c>
      <c r="I80" s="2">
        <f>(CREATE_DATABASE_MY_PROJECT02[[#This Row],[Profit]]/CREATE_DATABASE_MY_PROJECT02[[#This Row],[Sales]])</f>
        <v>0.13513513513513514</v>
      </c>
    </row>
    <row r="81" spans="1:9" x14ac:dyDescent="0.45">
      <c r="A81" s="1">
        <v>45376</v>
      </c>
      <c r="B81" t="s">
        <v>16</v>
      </c>
      <c r="C81" t="s">
        <v>15</v>
      </c>
      <c r="D81" s="4">
        <v>930</v>
      </c>
      <c r="E81" s="4">
        <v>900</v>
      </c>
      <c r="F81" s="2">
        <v>4</v>
      </c>
      <c r="G81" t="s">
        <v>9</v>
      </c>
      <c r="H81" s="4">
        <f>(CREATE_DATABASE_MY_PROJECT02[[#This Row],[Sales]]-CREATE_DATABASE_MY_PROJECT02[[#This Row],[Cost]])</f>
        <v>30</v>
      </c>
      <c r="I81" s="2">
        <f>(CREATE_DATABASE_MY_PROJECT02[[#This Row],[Profit]]/CREATE_DATABASE_MY_PROJECT02[[#This Row],[Sales]])</f>
        <v>3.2258064516129031E-2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AD1A8-FE6F-431A-8A42-93979CA17508}">
  <dimension ref="G16"/>
  <sheetViews>
    <sheetView showGridLines="0" tabSelected="1" zoomScale="70" zoomScaleNormal="70" workbookViewId="0">
      <selection activeCell="U12" sqref="U12"/>
    </sheetView>
  </sheetViews>
  <sheetFormatPr defaultRowHeight="14.25" x14ac:dyDescent="0.45"/>
  <sheetData>
    <row r="16" spans="7:7" x14ac:dyDescent="0.45">
      <c r="G16"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CD76A2-4AF3-425C-9728-A7BED07A92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Sheet6</vt:lpstr>
      <vt:lpstr>Stationery2024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akashsinha504@gmail.com</dc:creator>
  <cp:lastModifiedBy>akashsinha504@gmail.com</cp:lastModifiedBy>
  <dcterms:created xsi:type="dcterms:W3CDTF">2026-04-30T10:52:54Z</dcterms:created>
  <dcterms:modified xsi:type="dcterms:W3CDTF">2026-05-03T09:45:16Z</dcterms:modified>
</cp:coreProperties>
</file>